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分部拆解" sheetId="2" state="visible" r:id="rId2"/>
    <sheet xmlns:r="http://schemas.openxmlformats.org/officeDocument/2006/relationships" name="2_利润表五年" sheetId="3" state="visible" r:id="rId3"/>
    <sheet xmlns:r="http://schemas.openxmlformats.org/officeDocument/2006/relationships" name="3_现金流照妖镜" sheetId="4" state="visible" r:id="rId4"/>
    <sheet xmlns:r="http://schemas.openxmlformats.org/officeDocument/2006/relationships" name="4_资产负债偿债" sheetId="5" state="visible" r:id="rId5"/>
    <sheet xmlns:r="http://schemas.openxmlformats.org/officeDocument/2006/relationships" name="5_估值对比" sheetId="6" state="visible" r:id="rId6"/>
    <sheet xmlns:r="http://schemas.openxmlformats.org/officeDocument/2006/relationships" name="5b_股价与估值" sheetId="7" state="visible" r:id="rId7"/>
    <sheet xmlns:r="http://schemas.openxmlformats.org/officeDocument/2006/relationships" name="6_取数日志" sheetId="8" state="visible" r:id="rId8"/>
    <sheet xmlns:r="http://schemas.openxmlformats.org/officeDocument/2006/relationships" name="7_原始输入" sheetId="9" state="visible" r:id="rId9"/>
    <sheet xmlns:r="http://schemas.openxmlformats.org/officeDocument/2006/relationships" name="8_股价日线" sheetId="10" state="visible" r:id="rId10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;(#,##0.000);–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name val="Arial"/>
      <color rgb="0025364A"/>
      <sz val="10"/>
    </font>
    <font>
      <name val="Arial"/>
      <b val="1"/>
      <color rgb="00FFFFFF"/>
      <sz val="11"/>
    </font>
    <font>
      <name val="Arial"/>
      <color rgb="00008000"/>
      <sz val="10"/>
    </font>
    <font>
      <name val="Arial"/>
      <color rgb="00000000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1F2A4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0" fillId="5" borderId="0" applyAlignment="1" pivotButton="0" quotePrefix="0" xfId="0">
      <alignment vertical="center" wrapText="1"/>
    </xf>
    <xf numFmtId="3" fontId="0" fillId="4" borderId="1" pivotButton="0" quotePrefix="0" xfId="0"/>
    <xf numFmtId="0" fontId="0" fillId="5" borderId="0" pivotButton="0" quotePrefix="0" xfId="0"/>
    <xf numFmtId="2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6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5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2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horizontal="center" vertical="center" wrapText="1"/>
    </xf>
    <xf numFmtId="164" fontId="5" fillId="3" borderId="0" applyAlignment="1" pivotButton="0" quotePrefix="0" xfId="0">
      <alignment vertical="top" wrapText="1"/>
    </xf>
    <xf numFmtId="165" fontId="5" fillId="3" borderId="0" applyAlignment="1" pivotButton="0" quotePrefix="0" xfId="0">
      <alignment vertical="top" wrapText="1"/>
    </xf>
    <xf numFmtId="165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来源</author>
  </authors>
  <commentList>
    <comment ref="B2" authorId="0" shapeId="0">
      <text>
        <t>2024_US_424B4 PDF页279/F-3；286–287/F-10–11；https://ir.weride.ai/static-files/406cbf25-bb49-4020-b913-f9cca1283c6e
审计披露</t>
      </text>
    </comment>
    <comment ref="B3" authorId="0" shapeId="0">
      <text>
        <t>FY2024_20F PDF页169/F-3；176–177/F-10–11；https://ir.weride.ai/static-files/72a895d1-7999-4f63-9d97-476c54e7ecab
审计披露</t>
      </text>
    </comment>
    <comment ref="B4" authorId="0" shapeId="0">
      <text>
        <t>FY2025_20F PDF页171/F-4；178/F-11；111/108；https://ir.weride.ai/system/files-encrypted/nasdaq_kms/assets/2026/04/23/10-08-17/20-F.pdf
审计披露</t>
      </text>
    </comment>
    <comment ref="B5" authorId="0" shapeId="0">
      <text>
        <t>FY2025_20F PDF页171/F-4；178/F-11；111/108；https://ir.weride.ai/system/files-encrypted/nasdaq_kms/assets/2026/04/23/10-08-17/20-F.pdf
审计披露</t>
      </text>
    </comment>
    <comment ref="B6" authorId="0" shapeId="0">
      <text>
        <t>FY2025_20F PDF页171/F-4；178/F-11；111/108；https://ir.weride.ai/system/files-encrypted/nasdaq_kms/assets/2026/04/23/10-08-17/20-F.pdf
审计披露</t>
      </text>
    </comment>
    <comment ref="B7" authorId="0" shapeId="0">
      <text>
        <t>2024_US_424B4 PDF页279/F-3；286–287/F-10–11；https://ir.weride.ai/static-files/406cbf25-bb49-4020-b913-f9cca1283c6e
审计披露</t>
      </text>
    </comment>
    <comment ref="B8" authorId="0" shapeId="0">
      <text>
        <t>FY2024_20F PDF页169/F-3；176–177/F-10–11；https://ir.weride.ai/static-files/72a895d1-7999-4f63-9d97-476c54e7ecab
审计披露</t>
      </text>
    </comment>
    <comment ref="B9" authorId="0" shapeId="0">
      <text>
        <t>FY2025_20F PDF页171/F-4；178/F-11；111/108；https://ir.weride.ai/system/files-encrypted/nasdaq_kms/assets/2026/04/23/10-08-17/20-F.pdf
审计披露</t>
      </text>
    </comment>
    <comment ref="B10" authorId="0" shapeId="0">
      <text>
        <t>FY2025_20F PDF页171/F-4；178/F-11；111/108；https://ir.weride.ai/system/files-encrypted/nasdaq_kms/assets/2026/04/23/10-08-17/20-F.pdf
审计披露</t>
      </text>
    </comment>
    <comment ref="B11" authorId="0" shapeId="0">
      <text>
        <t>FY2025_20F PDF页171/F-4；178/F-11；111/108；https://ir.weride.ai/system/files-encrypted/nasdaq_kms/assets/2026/04/23/10-08-17/20-F.pdf
审计披露</t>
      </text>
    </comment>
    <comment ref="B12" authorId="0" shapeId="0">
      <text>
        <t>2024_US_424B4 PDF页279/F-3；286–287/F-10–11；https://ir.weride.ai/static-files/406cbf25-bb49-4020-b913-f9cca1283c6e
审计披露</t>
      </text>
    </comment>
    <comment ref="B13" authorId="0" shapeId="0">
      <text>
        <t>FY2024_20F PDF页169/F-3；176–177/F-10–11；https://ir.weride.ai/static-files/72a895d1-7999-4f63-9d97-476c54e7ecab
审计披露</t>
      </text>
    </comment>
    <comment ref="B14" authorId="0" shapeId="0">
      <text>
        <t>FY2025_20F PDF页171/F-4；178/F-11；111/108；https://ir.weride.ai/system/files-encrypted/nasdaq_kms/assets/2026/04/23/10-08-17/20-F.pdf
审计披露</t>
      </text>
    </comment>
    <comment ref="B15" authorId="0" shapeId="0">
      <text>
        <t>FY2025_20F PDF页171/F-4；178/F-11；111/108；https://ir.weride.ai/system/files-encrypted/nasdaq_kms/assets/2026/04/23/10-08-17/20-F.pdf
审计披露</t>
      </text>
    </comment>
    <comment ref="B16" authorId="0" shapeId="0">
      <text>
        <t>FY2025_20F PDF页171/F-4；178/F-11；111/108；https://ir.weride.ai/system/files-encrypted/nasdaq_kms/assets/2026/04/23/10-08-17/20-F.pdf
审计披露</t>
      </text>
    </comment>
    <comment ref="B17" authorId="0" shapeId="0">
      <text>
        <t>2024_US_424B4 PDF页279/F-3；286–287/F-10–11；https://ir.weride.ai/static-files/406cbf25-bb49-4020-b913-f9cca1283c6e
审计披露</t>
      </text>
    </comment>
    <comment ref="B18" authorId="0" shapeId="0">
      <text>
        <t>FY2024_20F PDF页169/F-3；176–177/F-10–11；https://ir.weride.ai/static-files/72a895d1-7999-4f63-9d97-476c54e7ecab
审计披露</t>
      </text>
    </comment>
    <comment ref="B19" authorId="0" shapeId="0">
      <text>
        <t>FY2025_20F PDF页171/F-4；178/F-11；111/108；https://ir.weride.ai/system/files-encrypted/nasdaq_kms/assets/2026/04/23/10-08-17/20-F.pdf
审计披露</t>
      </text>
    </comment>
    <comment ref="B20" authorId="0" shapeId="0">
      <text>
        <t>FY2025_20F PDF页171/F-4；178/F-11；111/108；https://ir.weride.ai/system/files-encrypted/nasdaq_kms/assets/2026/04/23/10-08-17/20-F.pdf
审计披露</t>
      </text>
    </comment>
    <comment ref="B21" authorId="0" shapeId="0">
      <text>
        <t>FY2025_20F PDF页171/F-4；178/F-11；111/108；https://ir.weride.ai/system/files-encrypted/nasdaq_kms/assets/2026/04/23/10-08-17/20-F.pdf
审计披露</t>
      </text>
    </comment>
    <comment ref="B22" authorId="0" shapeId="0">
      <text>
        <t>2024_US_424B4 PDF页279/F-3；286–287/F-10–11；https://ir.weride.ai/static-files/406cbf25-bb49-4020-b913-f9cca1283c6e
审计披露</t>
      </text>
    </comment>
    <comment ref="B23" authorId="0" shapeId="0">
      <text>
        <t>FY2024_20F PDF页169/F-3；176–177/F-10–11；https://ir.weride.ai/static-files/72a895d1-7999-4f63-9d97-476c54e7ecab
审计披露</t>
      </text>
    </comment>
    <comment ref="B24" authorId="0" shapeId="0">
      <text>
        <t>FY2025_20F PDF页171/F-4；178/F-11；111/108；https://ir.weride.ai/system/files-encrypted/nasdaq_kms/assets/2026/04/23/10-08-17/20-F.pdf
审计披露</t>
      </text>
    </comment>
    <comment ref="B25" authorId="0" shapeId="0">
      <text>
        <t>FY2025_20F PDF页171/F-4；178/F-11；111/108；https://ir.weride.ai/system/files-encrypted/nasdaq_kms/assets/2026/04/23/10-08-17/20-F.pdf
审计披露</t>
      </text>
    </comment>
    <comment ref="B26" authorId="0" shapeId="0">
      <text>
        <t>FY2025_20F PDF页171/F-4；178/F-11；111/108；https://ir.weride.ai/system/files-encrypted/nasdaq_kms/assets/2026/04/23/10-08-17/20-F.pdf
审计披露</t>
      </text>
    </comment>
    <comment ref="B27" authorId="0" shapeId="0">
      <text>
        <t>2024_US_424B4 PDF页279/F-3；286–287/F-10–11；https://ir.weride.ai/static-files/406cbf25-bb49-4020-b913-f9cca1283c6e
审计披露</t>
      </text>
    </comment>
    <comment ref="B28" authorId="0" shapeId="0">
      <text>
        <t>FY2024_20F PDF页169/F-3；176–177/F-10–11；https://ir.weride.ai/static-files/72a895d1-7999-4f63-9d97-476c54e7ecab
审计披露</t>
      </text>
    </comment>
    <comment ref="B29" authorId="0" shapeId="0">
      <text>
        <t>FY2025_20F PDF页171/F-4；178/F-11；111/108；https://ir.weride.ai/system/files-encrypted/nasdaq_kms/assets/2026/04/23/10-08-17/20-F.pdf
审计披露</t>
      </text>
    </comment>
    <comment ref="B30" authorId="0" shapeId="0">
      <text>
        <t>FY2025_20F PDF页171/F-4；178/F-11；111/108；https://ir.weride.ai/system/files-encrypted/nasdaq_kms/assets/2026/04/23/10-08-17/20-F.pdf
审计披露</t>
      </text>
    </comment>
    <comment ref="B31" authorId="0" shapeId="0">
      <text>
        <t>FY2025_20F PDF页171/F-4；178/F-11；111/108；https://ir.weride.ai/system/files-encrypted/nasdaq_kms/assets/2026/04/23/10-08-17/20-F.pdf
审计披露</t>
      </text>
    </comment>
    <comment ref="B32" authorId="0" shapeId="0">
      <text>
        <t>2024_US_424B4 PDF页279/F-3；286–287/F-10–11；https://ir.weride.ai/static-files/406cbf25-bb49-4020-b913-f9cca1283c6e
审计披露</t>
      </text>
    </comment>
    <comment ref="B33" authorId="0" shapeId="0">
      <text>
        <t>FY2024_20F PDF页169/F-3；176–177/F-10–11；https://ir.weride.ai/static-files/72a895d1-7999-4f63-9d97-476c54e7ecab
审计披露</t>
      </text>
    </comment>
    <comment ref="B34" authorId="0" shapeId="0">
      <text>
        <t>FY2025_20F PDF页171/F-4；178/F-11；111/108；https://ir.weride.ai/system/files-encrypted/nasdaq_kms/assets/2026/04/23/10-08-17/20-F.pdf
审计披露</t>
      </text>
    </comment>
    <comment ref="B35" authorId="0" shapeId="0">
      <text>
        <t>FY2025_20F PDF页171/F-4；178/F-11；111/108；https://ir.weride.ai/system/files-encrypted/nasdaq_kms/assets/2026/04/23/10-08-17/20-F.pdf
审计披露</t>
      </text>
    </comment>
    <comment ref="B36" authorId="0" shapeId="0">
      <text>
        <t>FY2025_20F PDF页171/F-4；178/F-11；111/108；https://ir.weride.ai/system/files-encrypted/nasdaq_kms/assets/2026/04/23/10-08-17/20-F.pdf
审计披露</t>
      </text>
    </comment>
    <comment ref="B37" authorId="0" shapeId="0">
      <text>
        <t>2024_US_424B4 PDF页279/F-3；286–287/F-10–11；https://ir.weride.ai/static-files/406cbf25-bb49-4020-b913-f9cca1283c6e
审计披露</t>
      </text>
    </comment>
    <comment ref="B38" authorId="0" shapeId="0">
      <text>
        <t>FY2024_20F PDF页169/F-3；176–177/F-10–11；https://ir.weride.ai/static-files/72a895d1-7999-4f63-9d97-476c54e7ecab
审计披露</t>
      </text>
    </comment>
    <comment ref="B39" authorId="0" shapeId="0">
      <text>
        <t>FY2025_20F PDF页171/F-4；178/F-11；111/108；https://ir.weride.ai/system/files-encrypted/nasdaq_kms/assets/2026/04/23/10-08-17/20-F.pdf
审计披露</t>
      </text>
    </comment>
    <comment ref="B40" authorId="0" shapeId="0">
      <text>
        <t>FY2025_20F PDF页171/F-4；178/F-11；111/108；https://ir.weride.ai/system/files-encrypted/nasdaq_kms/assets/2026/04/23/10-08-17/20-F.pdf
审计披露</t>
      </text>
    </comment>
    <comment ref="B41" authorId="0" shapeId="0">
      <text>
        <t>FY2025_20F PDF页171/F-4；178/F-11；111/108；https://ir.weride.ai/system/files-encrypted/nasdaq_kms/assets/2026/04/23/10-08-17/20-F.pdf
审计披露</t>
      </text>
    </comment>
    <comment ref="B42" authorId="0" shapeId="0">
      <text>
        <t>2024_US_424B4 PDF页279/F-3；286–287/F-10–11；https://ir.weride.ai/static-files/406cbf25-bb49-4020-b913-f9cca1283c6e
审计披露</t>
      </text>
    </comment>
    <comment ref="B43" authorId="0" shapeId="0">
      <text>
        <t>FY2024_20F PDF页169/F-3；176–177/F-10–11；https://ir.weride.ai/static-files/72a895d1-7999-4f63-9d97-476c54e7ecab
审计披露</t>
      </text>
    </comment>
    <comment ref="B44" authorId="0" shapeId="0">
      <text>
        <t>FY2025_20F PDF页171/F-4；178/F-11；111/108；https://ir.weride.ai/system/files-encrypted/nasdaq_kms/assets/2026/04/23/10-08-17/20-F.pdf
审计披露</t>
      </text>
    </comment>
    <comment ref="B45" authorId="0" shapeId="0">
      <text>
        <t>FY2025_20F PDF页171/F-4；178/F-11；111/108；https://ir.weride.ai/system/files-encrypted/nasdaq_kms/assets/2026/04/23/10-08-17/20-F.pdf
审计披露</t>
      </text>
    </comment>
    <comment ref="B46" authorId="0" shapeId="0">
      <text>
        <t>FY2025_20F PDF页171/F-4；178/F-11；111/108；https://ir.weride.ai/system/files-encrypted/nasdaq_kms/assets/2026/04/23/10-08-17/20-F.pdf
审计披露</t>
      </text>
    </comment>
    <comment ref="B47" authorId="0" shapeId="0">
      <text>
        <t>2024_US_424B4 PDF页279/F-3；286–287/F-10–11；https://ir.weride.ai/static-files/406cbf25-bb49-4020-b913-f9cca1283c6e
审计披露</t>
      </text>
    </comment>
    <comment ref="B48" authorId="0" shapeId="0">
      <text>
        <t>FY2024_20F PDF页169/F-3；176–177/F-10–11；https://ir.weride.ai/static-files/72a895d1-7999-4f63-9d97-476c54e7ecab
审计披露</t>
      </text>
    </comment>
    <comment ref="B49" authorId="0" shapeId="0">
      <text>
        <t>FY2025_20F PDF页171/F-4；178/F-11；111/108；https://ir.weride.ai/system/files-encrypted/nasdaq_kms/assets/2026/04/23/10-08-17/20-F.pdf
审计披露</t>
      </text>
    </comment>
    <comment ref="B50" authorId="0" shapeId="0">
      <text>
        <t>FY2025_20F PDF页171/F-4；178/F-11；111/108；https://ir.weride.ai/system/files-encrypted/nasdaq_kms/assets/2026/04/23/10-08-17/20-F.pdf
审计披露</t>
      </text>
    </comment>
    <comment ref="B51" authorId="0" shapeId="0">
      <text>
        <t>FY2025_20F PDF页171/F-4；178/F-11；111/108；https://ir.weride.ai/system/files-encrypted/nasdaq_kms/assets/2026/04/23/10-08-17/20-F.pdf
审计披露</t>
      </text>
    </comment>
    <comment ref="B52" authorId="0" shapeId="0">
      <text>
        <t>2024_US_424B4 PDF页279/F-3；286–287/F-10–11；https://ir.weride.ai/static-files/406cbf25-bb49-4020-b913-f9cca1283c6e
审计披露</t>
      </text>
    </comment>
    <comment ref="B53" authorId="0" shapeId="0">
      <text>
        <t>FY2024_20F PDF页169/F-3；176–177/F-10–11；https://ir.weride.ai/static-files/72a895d1-7999-4f63-9d97-476c54e7ecab
审计披露</t>
      </text>
    </comment>
    <comment ref="B54" authorId="0" shapeId="0">
      <text>
        <t>FY2025_20F PDF页171/F-4；178/F-11；111/108；https://ir.weride.ai/system/files-encrypted/nasdaq_kms/assets/2026/04/23/10-08-17/20-F.pdf
审计披露</t>
      </text>
    </comment>
    <comment ref="B55" authorId="0" shapeId="0">
      <text>
        <t>FY2025_20F PDF页171/F-4；178/F-11；111/108；https://ir.weride.ai/system/files-encrypted/nasdaq_kms/assets/2026/04/23/10-08-17/20-F.pdf
审计披露</t>
      </text>
    </comment>
    <comment ref="B56" authorId="0" shapeId="0">
      <text>
        <t>FY2025_20F PDF页171/F-4；178/F-11；111/108；https://ir.weride.ai/system/files-encrypted/nasdaq_kms/assets/2026/04/23/10-08-17/20-F.pdf
审计披露</t>
      </text>
    </comment>
    <comment ref="B57" authorId="0" shapeId="0">
      <text>
        <t>2024_US_424B4 PDF页40–43/摘要Non-IFRS调节；https://ir.weride.ai/static-files/406cbf25-bb49-4020-b913-f9cca1283c6e
管理层Non-IFRS；非中国扣非口径</t>
      </text>
    </comment>
    <comment ref="B58" authorId="0" shapeId="0">
      <text>
        <t>FY2024_20F PDF页169/F-3；176–177/F-10–11；https://ir.weride.ai/static-files/72a895d1-7999-4f63-9d97-476c54e7ecab
管理层Non-IFRS；非中国扣非口径</t>
      </text>
    </comment>
    <comment ref="B59" authorId="0" shapeId="0">
      <text>
        <t>FY2025_20F PDF页171/F-4；178/F-11；111/108；https://ir.weride.ai/system/files-encrypted/nasdaq_kms/assets/2026/04/23/10-08-17/20-F.pdf
管理层Non-IFRS；非中国扣非口径</t>
      </text>
    </comment>
    <comment ref="B60" authorId="0" shapeId="0">
      <text>
        <t>FY2025_20F PDF页171/F-4；178/F-11；111/108；https://ir.weride.ai/system/files-encrypted/nasdaq_kms/assets/2026/04/23/10-08-17/20-F.pdf
管理层Non-IFRS；非中国扣非口径</t>
      </text>
    </comment>
    <comment ref="B61" authorId="0" shapeId="0">
      <text>
        <t>FY2025_20F PDF页171/F-4；178/F-11；111/108；https://ir.weride.ai/system/files-encrypted/nasdaq_kms/assets/2026/04/23/10-08-17/20-F.pdf
管理层Non-IFRS；非中国扣非口径</t>
      </text>
    </comment>
    <comment ref="B62" authorId="0" shapeId="0">
      <text>
        <t>2024_US_424B4 PDF页279/F-3；286–287/F-10–11；https://ir.weride.ai/static-files/406cbf25-bb49-4020-b913-f9cca1283c6e
审计披露</t>
      </text>
    </comment>
    <comment ref="B63" authorId="0" shapeId="0">
      <text>
        <t>FY2024_20F PDF页169/F-3；176–177/F-10–11；https://ir.weride.ai/static-files/72a895d1-7999-4f63-9d97-476c54e7ecab
审计披露</t>
      </text>
    </comment>
    <comment ref="B64" authorId="0" shapeId="0">
      <text>
        <t>FY2025_20F PDF页171/F-4；178/F-11；111/108；https://ir.weride.ai/system/files-encrypted/nasdaq_kms/assets/2026/04/23/10-08-17/20-F.pdf
审计披露</t>
      </text>
    </comment>
    <comment ref="B65" authorId="0" shapeId="0">
      <text>
        <t>FY2025_20F PDF页171/F-4；178/F-11；111/108；https://ir.weride.ai/system/files-encrypted/nasdaq_kms/assets/2026/04/23/10-08-17/20-F.pdf
审计披露</t>
      </text>
    </comment>
    <comment ref="B66" authorId="0" shapeId="0">
      <text>
        <t>FY2025_20F PDF页171/F-4；178/F-11；111/108；https://ir.weride.ai/system/files-encrypted/nasdaq_kms/assets/2026/04/23/10-08-17/20-F.pdf
审计披露</t>
      </text>
    </comment>
    <comment ref="B67" authorId="0" shapeId="0">
      <text>
        <t>2024_US_424B4 PDF页279/F-3；286–287/F-10–11；https://ir.weride.ai/static-files/406cbf25-bb49-4020-b913-f9cca1283c6e
审计披露</t>
      </text>
    </comment>
    <comment ref="B68" authorId="0" shapeId="0">
      <text>
        <t>FY2024_20F PDF页169/F-3；176–177/F-10–11；https://ir.weride.ai/static-files/72a895d1-7999-4f63-9d97-476c54e7ecab
审计披露</t>
      </text>
    </comment>
    <comment ref="B69" authorId="0" shapeId="0">
      <text>
        <t>FY2025_20F PDF页171/F-4；178/F-11；111/108；https://ir.weride.ai/system/files-encrypted/nasdaq_kms/assets/2026/04/23/10-08-17/20-F.pdf
审计披露</t>
      </text>
    </comment>
    <comment ref="B70" authorId="0" shapeId="0">
      <text>
        <t>FY2025_20F PDF页171/F-4；178/F-11；111/108；https://ir.weride.ai/system/files-encrypted/nasdaq_kms/assets/2026/04/23/10-08-17/20-F.pdf
审计披露</t>
      </text>
    </comment>
    <comment ref="B71" authorId="0" shapeId="0">
      <text>
        <t>FY2025_20F PDF页171/F-4；178/F-11；111/108；https://ir.weride.ai/system/files-encrypted/nasdaq_kms/assets/2026/04/23/10-08-17/20-F.pdf
审计披露</t>
      </text>
    </comment>
    <comment ref="B72" authorId="0" shapeId="0">
      <text>
        <t>2024_US_424B4 PDF页279/F-3；286–287/F-10–11；https://ir.weride.ai/static-files/406cbf25-bb49-4020-b913-f9cca1283c6e
审计披露</t>
      </text>
    </comment>
    <comment ref="B73" authorId="0" shapeId="0">
      <text>
        <t>FY2024_20F PDF页169/F-3；176–177/F-10–11；https://ir.weride.ai/static-files/72a895d1-7999-4f63-9d97-476c54e7ecab
审计披露</t>
      </text>
    </comment>
    <comment ref="B74" authorId="0" shapeId="0">
      <text>
        <t>FY2025_20F PDF页171/F-4；178/F-11；111/108；https://ir.weride.ai/system/files-encrypted/nasdaq_kms/assets/2026/04/23/10-08-17/20-F.pdf
审计披露</t>
      </text>
    </comment>
    <comment ref="B75" authorId="0" shapeId="0">
      <text>
        <t>FY2025_20F PDF页171/F-4；178/F-11；111/108；https://ir.weride.ai/system/files-encrypted/nasdaq_kms/assets/2026/04/23/10-08-17/20-F.pdf
审计披露</t>
      </text>
    </comment>
    <comment ref="B76" authorId="0" shapeId="0">
      <text>
        <t>FY2025_20F PDF页171/F-4；178/F-11；111/108；https://ir.weride.ai/system/files-encrypted/nasdaq_kms/assets/2026/04/23/10-08-17/20-F.pdf
审计披露</t>
      </text>
    </comment>
    <comment ref="B77" authorId="0" shapeId="0">
      <text>
        <t>2024_US_424B4 PDF页279/F-3；286–287/F-10–11；https://ir.weride.ai/static-files/406cbf25-bb49-4020-b913-f9cca1283c6e
审计披露</t>
      </text>
    </comment>
    <comment ref="B78" authorId="0" shapeId="0">
      <text>
        <t>FY2024_20F PDF页169/F-3；176–177/F-10–11；https://ir.weride.ai/static-files/72a895d1-7999-4f63-9d97-476c54e7ecab
审计披露</t>
      </text>
    </comment>
    <comment ref="B79" authorId="0" shapeId="0">
      <text>
        <t>FY2025_20F PDF页171/F-4；178/F-11；111/108；https://ir.weride.ai/system/files-encrypted/nasdaq_kms/assets/2026/04/23/10-08-17/20-F.pdf
审计披露</t>
      </text>
    </comment>
    <comment ref="B80" authorId="0" shapeId="0">
      <text>
        <t>FY2025_20F PDF页171/F-4；178/F-11；111/108；https://ir.weride.ai/system/files-encrypted/nasdaq_kms/assets/2026/04/23/10-08-17/20-F.pdf
审计披露</t>
      </text>
    </comment>
    <comment ref="B81" authorId="0" shapeId="0">
      <text>
        <t>FY2025_20F PDF页171/F-4；178/F-11；111/108；https://ir.weride.ai/system/files-encrypted/nasdaq_kms/assets/2026/04/23/10-08-17/20-F.pdf
审计披露</t>
      </text>
    </comment>
    <comment ref="B82" authorId="0" shapeId="0">
      <text>
        <t>2024_US_424B4 PDF页279/F-3；286–287/F-10–11；https://ir.weride.ai/static-files/406cbf25-bb49-4020-b913-f9cca1283c6e
审计披露</t>
      </text>
    </comment>
    <comment ref="B83" authorId="0" shapeId="0">
      <text>
        <t>FY2024_20F PDF页169/F-3；176–177/F-10–11；https://ir.weride.ai/static-files/72a895d1-7999-4f63-9d97-476c54e7ecab
审计披露</t>
      </text>
    </comment>
    <comment ref="B84" authorId="0" shapeId="0">
      <text>
        <t>FY2025_20F PDF页171/F-4；178/F-11；111/108；https://ir.weride.ai/system/files-encrypted/nasdaq_kms/assets/2026/04/23/10-08-17/20-F.pdf
审计披露</t>
      </text>
    </comment>
    <comment ref="B85" authorId="0" shapeId="0">
      <text>
        <t>FY2025_20F PDF页171/F-4；178/F-11；111/108；https://ir.weride.ai/system/files-encrypted/nasdaq_kms/assets/2026/04/23/10-08-17/20-F.pdf
审计披露</t>
      </text>
    </comment>
    <comment ref="B86" authorId="0" shapeId="0">
      <text>
        <t>FY2025_20F PDF页171/F-4；178/F-11；111/108；https://ir.weride.ai/system/files-encrypted/nasdaq_kms/assets/2026/04/23/10-08-17/20-F.pdf
审计披露</t>
      </text>
    </comment>
    <comment ref="B87" authorId="0" shapeId="0">
      <text>
        <t>2024_US_424B4 PDF页279/F-3；286–287/F-10–11；https://ir.weride.ai/static-files/406cbf25-bb49-4020-b913-f9cca1283c6e
审计披露</t>
      </text>
    </comment>
    <comment ref="B88" authorId="0" shapeId="0">
      <text>
        <t>FY2024_20F PDF页169/F-3；176–177/F-10–11；https://ir.weride.ai/static-files/72a895d1-7999-4f63-9d97-476c54e7ecab
审计披露</t>
      </text>
    </comment>
    <comment ref="B89" authorId="0" shapeId="0">
      <text>
        <t>FY2025_20F PDF页171/F-4；178/F-11；111/108；https://ir.weride.ai/system/files-encrypted/nasdaq_kms/assets/2026/04/23/10-08-17/20-F.pdf
审计披露</t>
      </text>
    </comment>
    <comment ref="B90" authorId="0" shapeId="0">
      <text>
        <t>FY2025_20F PDF页171/F-4；178/F-11；111/108；https://ir.weride.ai/system/files-encrypted/nasdaq_kms/assets/2026/04/23/10-08-17/20-F.pdf
审计披露</t>
      </text>
    </comment>
    <comment ref="B91" authorId="0" shapeId="0">
      <text>
        <t>FY2025_20F PDF页171/F-4；178/F-11；111/108；https://ir.weride.ai/system/files-encrypted/nasdaq_kms/assets/2026/04/23/10-08-17/20-F.pdf
审计披露</t>
      </text>
    </comment>
    <comment ref="B92" authorId="0" shapeId="0">
      <text>
        <t>2024_US_424B4 PDF页279/F-3；286–287/F-10–11；https://ir.weride.ai/static-files/406cbf25-bb49-4020-b913-f9cca1283c6e
审计披露</t>
      </text>
    </comment>
    <comment ref="B93" authorId="0" shapeId="0">
      <text>
        <t>FY2024_20F PDF页169/F-3；176–177/F-10–11；https://ir.weride.ai/static-files/72a895d1-7999-4f63-9d97-476c54e7ecab
审计披露</t>
      </text>
    </comment>
    <comment ref="B94" authorId="0" shapeId="0">
      <text>
        <t>FY2025_20F PDF页171/F-4；178/F-11；111/108；https://ir.weride.ai/system/files-encrypted/nasdaq_kms/assets/2026/04/23/10-08-17/20-F.pdf
审计披露</t>
      </text>
    </comment>
    <comment ref="B95" authorId="0" shapeId="0">
      <text>
        <t>FY2025_20F PDF页171/F-4；178/F-11；111/108；https://ir.weride.ai/system/files-encrypted/nasdaq_kms/assets/2026/04/23/10-08-17/20-F.pdf
审计披露</t>
      </text>
    </comment>
    <comment ref="B96" authorId="0" shapeId="0">
      <text>
        <t>FY2025_20F PDF页171/F-4；178/F-11；111/108；https://ir.weride.ai/system/files-encrypted/nasdaq_kms/assets/2026/04/23/10-08-17/20-F.pdf
审计披露</t>
      </text>
    </comment>
    <comment ref="B97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98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99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00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01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02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03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04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05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06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07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08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09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10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11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12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13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14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15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16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17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18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19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20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21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22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23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24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25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26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27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28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29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30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31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32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33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34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35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36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37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38" authorId="0" shapeId="0">
      <text>
        <t>2025_HK_prospectus PDF页592–593/I-16–17；https://www1.hkexnews.hk/listedco/listconews/sehk/2025/1028/2025102800019.pdf
半年披露；2024 OCF采用港股招股书后列比较数，较美招股书差378千元</t>
      </text>
    </comment>
    <comment ref="B139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40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41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42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43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44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45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46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47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48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49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50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51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52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53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54" authorId="0" shapeId="0">
      <text>
        <t>2025_HK_prospectus PDF页592–593/I-16–17；https://www1.hkexnews.hk/listedco/listconews/sehk/2025/1028/2025102800019.pdf
半年披露；2024 OCF采用港股招股书后列比较数，较美招股书差378千元</t>
      </text>
    </comment>
    <comment ref="B155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56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57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58" authorId="0" shapeId="0">
      <text>
        <t>2024_US_424B4 PDF页355/F-79；361–362/F-85–86；https://ir.weride.ai/static-files/406cbf25-bb49-4020-b913-f9cca1283c6e
半年披露；2024 OCF采用港股招股书后列比较数，较美招股书差378千元</t>
      </text>
    </comment>
    <comment ref="B159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60" authorId="0" shapeId="0">
      <text>
        <t>2026H1_interim PDF页47/46；53–54/52–53；https://www.hkexnews.hk/listedco/listconews/sehk/2026/0914/2026091401019.pdf
半年披露；2024 OCF采用港股招股书后列比较数，较美招股书差378千元</t>
      </text>
    </comment>
    <comment ref="B161" authorId="0" shapeId="0">
      <text>
        <t>2024_US_424B4 PDF页281–282/F-5–6；https://ir.weride.ai/static-files/406cbf25-bb49-4020-b913-f9cca1283c6e
披露</t>
      </text>
    </comment>
    <comment ref="B162" authorId="0" shapeId="0">
      <text>
        <t>FY2024_20F PDF页171–172/F-5–6；https://ir.weride.ai/static-files/72a895d1-7999-4f63-9d97-476c54e7ecab
披露</t>
      </text>
    </comment>
    <comment ref="B163" authorId="0" shapeId="0">
      <text>
        <t>FY2025_20F PDF页173–174/F-6–7；https://ir.weride.ai/system/files-encrypted/nasdaq_kms/assets/2026/04/23/10-08-17/20-F.pdf
披露</t>
      </text>
    </comment>
    <comment ref="B164" authorId="0" shapeId="0">
      <text>
        <t>FY2025_20F PDF页173–174/F-6–7；https://ir.weride.ai/system/files-encrypted/nasdaq_kms/assets/2026/04/23/10-08-17/20-F.pdf
披露</t>
      </text>
    </comment>
    <comment ref="B165" authorId="0" shapeId="0">
      <text>
        <t>2026H1_interim PDF页49–50/48–49；66–67/65–66；https://www.hkexnews.hk/listedco/listconews/sehk/2026/0914/2026091401019.pdf
披露</t>
      </text>
    </comment>
    <comment ref="B166" authorId="0" shapeId="0">
      <text>
        <t>2024_US_424B4 PDF页281–282/F-5–6；https://ir.weride.ai/static-files/406cbf25-bb49-4020-b913-f9cca1283c6e
披露</t>
      </text>
    </comment>
    <comment ref="B167" authorId="0" shapeId="0">
      <text>
        <t>FY2024_20F PDF页171–172/F-5–6；https://ir.weride.ai/static-files/72a895d1-7999-4f63-9d97-476c54e7ecab
披露</t>
      </text>
    </comment>
    <comment ref="B168" authorId="0" shapeId="0">
      <text>
        <t>FY2025_20F PDF页173–174/F-6–7；https://ir.weride.ai/system/files-encrypted/nasdaq_kms/assets/2026/04/23/10-08-17/20-F.pdf
披露</t>
      </text>
    </comment>
    <comment ref="B169" authorId="0" shapeId="0">
      <text>
        <t>FY2025_20F PDF页173–174/F-6–7；https://ir.weride.ai/system/files-encrypted/nasdaq_kms/assets/2026/04/23/10-08-17/20-F.pdf
披露</t>
      </text>
    </comment>
    <comment ref="B170" authorId="0" shapeId="0">
      <text>
        <t>2026H1_interim PDF页49–50/48–49；66–67/65–66；https://www.hkexnews.hk/listedco/listconews/sehk/2026/0914/2026091401019.pdf
披露</t>
      </text>
    </comment>
    <comment ref="B171" authorId="0" shapeId="0">
      <text>
        <t>2024_US_424B4 PDF页281–282/F-5–6；https://ir.weride.ai/static-files/406cbf25-bb49-4020-b913-f9cca1283c6e
披露</t>
      </text>
    </comment>
    <comment ref="B172" authorId="0" shapeId="0">
      <text>
        <t>FY2024_20F PDF页171–172/F-5–6；https://ir.weride.ai/static-files/72a895d1-7999-4f63-9d97-476c54e7ecab
披露</t>
      </text>
    </comment>
    <comment ref="B173" authorId="0" shapeId="0">
      <text>
        <t>FY2025_20F PDF页173–174/F-6–7；https://ir.weride.ai/system/files-encrypted/nasdaq_kms/assets/2026/04/23/10-08-17/20-F.pdf
披露</t>
      </text>
    </comment>
    <comment ref="B174" authorId="0" shapeId="0">
      <text>
        <t>FY2025_20F PDF页173–174/F-6–7；https://ir.weride.ai/system/files-encrypted/nasdaq_kms/assets/2026/04/23/10-08-17/20-F.pdf
披露</t>
      </text>
    </comment>
    <comment ref="B175" authorId="0" shapeId="0">
      <text>
        <t>2026H1_interim PDF页49–50/48–49；66–67/65–66；https://www.hkexnews.hk/listedco/listconews/sehk/2026/0914/2026091401019.pdf
披露</t>
      </text>
    </comment>
    <comment ref="B176" authorId="0" shapeId="0">
      <text>
        <t>2024_US_424B4 PDF页281–282/F-5–6；https://ir.weride.ai/static-files/406cbf25-bb49-4020-b913-f9cca1283c6e
披露</t>
      </text>
    </comment>
    <comment ref="B177" authorId="0" shapeId="0">
      <text>
        <t>FY2024_20F PDF页171–172/F-5–6；https://ir.weride.ai/static-files/72a895d1-7999-4f63-9d97-476c54e7ecab
披露</t>
      </text>
    </comment>
    <comment ref="B178" authorId="0" shapeId="0">
      <text>
        <t>FY2025_20F PDF页173–174/F-6–7；https://ir.weride.ai/system/files-encrypted/nasdaq_kms/assets/2026/04/23/10-08-17/20-F.pdf
披露</t>
      </text>
    </comment>
    <comment ref="B179" authorId="0" shapeId="0">
      <text>
        <t>FY2025_20F PDF页173–174/F-6–7；https://ir.weride.ai/system/files-encrypted/nasdaq_kms/assets/2026/04/23/10-08-17/20-F.pdf
披露</t>
      </text>
    </comment>
    <comment ref="B180" authorId="0" shapeId="0">
      <text>
        <t>2026H1_interim PDF页49–50/48–49；66–67/65–66；https://www.hkexnews.hk/listedco/listconews/sehk/2026/0914/2026091401019.pdf
披露</t>
      </text>
    </comment>
    <comment ref="B181" authorId="0" shapeId="0">
      <text>
        <t>2024_US_424B4 PDF页281–282/F-5–6；https://ir.weride.ai/static-files/406cbf25-bb49-4020-b913-f9cca1283c6e
披露</t>
      </text>
    </comment>
    <comment ref="B182" authorId="0" shapeId="0">
      <text>
        <t>FY2024_20F PDF页171–172/F-5–6；https://ir.weride.ai/static-files/72a895d1-7999-4f63-9d97-476c54e7ecab
披露</t>
      </text>
    </comment>
    <comment ref="B183" authorId="0" shapeId="0">
      <text>
        <t>FY2025_20F PDF页173–174/F-6–7；https://ir.weride.ai/system/files-encrypted/nasdaq_kms/assets/2026/04/23/10-08-17/20-F.pdf
披露</t>
      </text>
    </comment>
    <comment ref="B184" authorId="0" shapeId="0">
      <text>
        <t>FY2025_20F PDF页173–174/F-6–7；https://ir.weride.ai/system/files-encrypted/nasdaq_kms/assets/2026/04/23/10-08-17/20-F.pdf
披露</t>
      </text>
    </comment>
    <comment ref="B185" authorId="0" shapeId="0">
      <text>
        <t>2026H1_interim PDF页49–50/48–49；66–67/65–66；https://www.hkexnews.hk/listedco/listconews/sehk/2026/0914/2026091401019.pdf
披露</t>
      </text>
    </comment>
    <comment ref="B186" authorId="0" shapeId="0">
      <text>
        <t>2024_US_424B4 PDF页281–282/F-5–6；https://ir.weride.ai/static-files/406cbf25-bb49-4020-b913-f9cca1283c6e
披露</t>
      </text>
    </comment>
    <comment ref="B187" authorId="0" shapeId="0">
      <text>
        <t>FY2024_20F PDF页171–172/F-5–6；https://ir.weride.ai/static-files/72a895d1-7999-4f63-9d97-476c54e7ecab
披露</t>
      </text>
    </comment>
    <comment ref="B188" authorId="0" shapeId="0">
      <text>
        <t>FY2025_20F PDF页173–174/F-6–7；https://ir.weride.ai/system/files-encrypted/nasdaq_kms/assets/2026/04/23/10-08-17/20-F.pdf
披露</t>
      </text>
    </comment>
    <comment ref="B189" authorId="0" shapeId="0">
      <text>
        <t>FY2025_20F PDF页173–174/F-6–7；https://ir.weride.ai/system/files-encrypted/nasdaq_kms/assets/2026/04/23/10-08-17/20-F.pdf
披露</t>
      </text>
    </comment>
    <comment ref="B190" authorId="0" shapeId="0">
      <text>
        <t>2026H1_interim PDF页49–50/48–49；66–67/65–66；https://www.hkexnews.hk/listedco/listconews/sehk/2026/0914/2026091401019.pdf
披露</t>
      </text>
    </comment>
    <comment ref="B191" authorId="0" shapeId="0">
      <text>
        <t>2024_US_424B4 PDF页281–282/F-5–6；https://ir.weride.ai/static-files/406cbf25-bb49-4020-b913-f9cca1283c6e
披露</t>
      </text>
    </comment>
    <comment ref="B192" authorId="0" shapeId="0">
      <text>
        <t>FY2024_20F PDF页171–172/F-5–6；https://ir.weride.ai/static-files/72a895d1-7999-4f63-9d97-476c54e7ecab
披露</t>
      </text>
    </comment>
    <comment ref="B193" authorId="0" shapeId="0">
      <text>
        <t>FY2025_20F PDF页173–174/F-6–7；https://ir.weride.ai/system/files-encrypted/nasdaq_kms/assets/2026/04/23/10-08-17/20-F.pdf
披露</t>
      </text>
    </comment>
    <comment ref="B194" authorId="0" shapeId="0">
      <text>
        <t>FY2025_20F PDF页173–174/F-6–7；https://ir.weride.ai/system/files-encrypted/nasdaq_kms/assets/2026/04/23/10-08-17/20-F.pdf
披露</t>
      </text>
    </comment>
    <comment ref="B195" authorId="0" shapeId="0">
      <text>
        <t>2026H1_interim PDF页49–50/48–49；66–67/65–66；https://www.hkexnews.hk/listedco/listconews/sehk/2026/0914/2026091401019.pdf
披露</t>
      </text>
    </comment>
    <comment ref="B196" authorId="0" shapeId="0">
      <text>
        <t>2024_US_424B4 PDF页281–282/F-5–6；https://ir.weride.ai/static-files/406cbf25-bb49-4020-b913-f9cca1283c6e
披露</t>
      </text>
    </comment>
    <comment ref="B197" authorId="0" shapeId="0">
      <text>
        <t>FY2024_20F PDF页171–172/F-5–6；https://ir.weride.ai/static-files/72a895d1-7999-4f63-9d97-476c54e7ecab
披露</t>
      </text>
    </comment>
    <comment ref="B198" authorId="0" shapeId="0">
      <text>
        <t>FY2025_20F PDF页173–174/F-6–7；https://ir.weride.ai/system/files-encrypted/nasdaq_kms/assets/2026/04/23/10-08-17/20-F.pdf
披露</t>
      </text>
    </comment>
    <comment ref="B199" authorId="0" shapeId="0">
      <text>
        <t>FY2025_20F PDF页173–174/F-6–7；https://ir.weride.ai/system/files-encrypted/nasdaq_kms/assets/2026/04/23/10-08-17/20-F.pdf
披露</t>
      </text>
    </comment>
    <comment ref="B200" authorId="0" shapeId="0">
      <text>
        <t>2026H1_interim PDF页49–50/48–49；66–67/65–66；https://www.hkexnews.hk/listedco/listconews/sehk/2026/0914/2026091401019.pdf
披露</t>
      </text>
    </comment>
    <comment ref="B201" authorId="0" shapeId="0">
      <text>
        <t>2024_US_424B4 PDF页281–282/F-5–6；https://ir.weride.ai/static-files/406cbf25-bb49-4020-b913-f9cca1283c6e
披露</t>
      </text>
    </comment>
    <comment ref="B202" authorId="0" shapeId="0">
      <text>
        <t>FY2024_20F PDF页171–172/F-5–6；https://ir.weride.ai/static-files/72a895d1-7999-4f63-9d97-476c54e7ecab
披露</t>
      </text>
    </comment>
    <comment ref="B203" authorId="0" shapeId="0">
      <text>
        <t>FY2025_20F PDF页173–174/F-6–7；https://ir.weride.ai/system/files-encrypted/nasdaq_kms/assets/2026/04/23/10-08-17/20-F.pdf
披露</t>
      </text>
    </comment>
    <comment ref="B204" authorId="0" shapeId="0">
      <text>
        <t>FY2025_20F PDF页173–174/F-6–7；https://ir.weride.ai/system/files-encrypted/nasdaq_kms/assets/2026/04/23/10-08-17/20-F.pdf
披露</t>
      </text>
    </comment>
    <comment ref="B205" authorId="0" shapeId="0">
      <text>
        <t>2026H1_interim PDF页49–50/48–49；66–67/65–66；https://www.hkexnews.hk/listedco/listconews/sehk/2026/0914/2026091401019.pdf
披露</t>
      </text>
    </comment>
    <comment ref="B206" authorId="0" shapeId="0">
      <text>
        <t>2024_US_424B4 PDF页281–282/F-5–6；https://ir.weride.ai/static-files/406cbf25-bb49-4020-b913-f9cca1283c6e
披露</t>
      </text>
    </comment>
    <comment ref="B207" authorId="0" shapeId="0">
      <text>
        <t>FY2024_20F PDF页171–172/F-5–6；https://ir.weride.ai/static-files/72a895d1-7999-4f63-9d97-476c54e7ecab
披露</t>
      </text>
    </comment>
    <comment ref="B208" authorId="0" shapeId="0">
      <text>
        <t>FY2025_20F PDF页173–174/F-6–7；https://ir.weride.ai/system/files-encrypted/nasdaq_kms/assets/2026/04/23/10-08-17/20-F.pdf
披露</t>
      </text>
    </comment>
    <comment ref="B209" authorId="0" shapeId="0">
      <text>
        <t>FY2025_20F PDF页173–174/F-6–7；https://ir.weride.ai/system/files-encrypted/nasdaq_kms/assets/2026/04/23/10-08-17/20-F.pdf
披露</t>
      </text>
    </comment>
    <comment ref="B210" authorId="0" shapeId="0">
      <text>
        <t>2026H1_interim PDF页49–50/48–49；66–67/65–66；https://www.hkexnews.hk/listedco/listconews/sehk/2026/0914/2026091401019.pdf
披露</t>
      </text>
    </comment>
    <comment ref="B211" authorId="0" shapeId="0">
      <text>
        <t>FY2024_20F PDF页171–172/F-5–6；https://ir.weride.ai/static-files/72a895d1-7999-4f63-9d97-476c54e7ecab
披露</t>
      </text>
    </comment>
    <comment ref="B212" authorId="0" shapeId="0">
      <text>
        <t>FY2025_20F PDF页173–174/F-6–7；https://ir.weride.ai/system/files-encrypted/nasdaq_kms/assets/2026/04/23/10-08-17/20-F.pdf
披露</t>
      </text>
    </comment>
    <comment ref="B213" authorId="0" shapeId="0">
      <text>
        <t>FY2025_20F PDF页173–174/F-6–7；https://ir.weride.ai/system/files-encrypted/nasdaq_kms/assets/2026/04/23/10-08-17/20-F.pdf
披露</t>
      </text>
    </comment>
    <comment ref="B214" authorId="0" shapeId="0">
      <text>
        <t>2026H1_interim PDF页49–50/48–49；66–67/65–66；https://www.hkexnews.hk/listedco/listconews/sehk/2026/0914/2026091401019.pdf
披露</t>
      </text>
    </comment>
    <comment ref="B215" authorId="0" shapeId="0">
      <text>
        <t>2024_US_424B4 PDF页281–282/F-5–6；https://ir.weride.ai/static-files/406cbf25-bb49-4020-b913-f9cca1283c6e
披露</t>
      </text>
    </comment>
    <comment ref="B216" authorId="0" shapeId="0">
      <text>
        <t>FY2024_20F PDF页171–172/F-5–6；https://ir.weride.ai/static-files/72a895d1-7999-4f63-9d97-476c54e7ecab
披露</t>
      </text>
    </comment>
    <comment ref="B217" authorId="0" shapeId="0">
      <text>
        <t>FY2025_20F PDF页173–174/F-6–7；https://ir.weride.ai/system/files-encrypted/nasdaq_kms/assets/2026/04/23/10-08-17/20-F.pdf
披露</t>
      </text>
    </comment>
    <comment ref="B218" authorId="0" shapeId="0">
      <text>
        <t>FY2025_20F PDF页173–174/F-6–7；https://ir.weride.ai/system/files-encrypted/nasdaq_kms/assets/2026/04/23/10-08-17/20-F.pdf
披露</t>
      </text>
    </comment>
    <comment ref="B219" authorId="0" shapeId="0">
      <text>
        <t>2026H1_interim PDF页49–50/48–49；66–67/65–66；https://www.hkexnews.hk/listedco/listconews/sehk/2026/0914/2026091401019.pdf
披露</t>
      </text>
    </comment>
    <comment ref="B220" authorId="0" shapeId="0">
      <text>
        <t>2024_US_424B4 PDF页281–282/F-5–6；https://ir.weride.ai/static-files/406cbf25-bb49-4020-b913-f9cca1283c6e
披露</t>
      </text>
    </comment>
    <comment ref="B221" authorId="0" shapeId="0">
      <text>
        <t>FY2024_20F PDF页171–172/F-5–6；https://ir.weride.ai/static-files/72a895d1-7999-4f63-9d97-476c54e7ecab
披露</t>
      </text>
    </comment>
    <comment ref="B222" authorId="0" shapeId="0">
      <text>
        <t>FY2025_20F PDF页173–174/F-6–7；https://ir.weride.ai/system/files-encrypted/nasdaq_kms/assets/2026/04/23/10-08-17/20-F.pdf
披露</t>
      </text>
    </comment>
    <comment ref="B223" authorId="0" shapeId="0">
      <text>
        <t>FY2025_20F PDF页173–174/F-6–7；https://ir.weride.ai/system/files-encrypted/nasdaq_kms/assets/2026/04/23/10-08-17/20-F.pdf
披露</t>
      </text>
    </comment>
    <comment ref="B224" authorId="0" shapeId="0">
      <text>
        <t>2026H1_interim PDF页49–50/48–49；66–67/65–66；https://www.hkexnews.hk/listedco/listconews/sehk/2026/0914/2026091401019.pdf
披露</t>
      </text>
    </comment>
    <comment ref="B225" authorId="0" shapeId="0">
      <text>
        <t>2024_US_424B4 PDF页281–282/F-5–6；https://ir.weride.ai/static-files/406cbf25-bb49-4020-b913-f9cca1283c6e
披露</t>
      </text>
    </comment>
    <comment ref="B226" authorId="0" shapeId="0">
      <text>
        <t>FY2024_20F PDF页171–172/F-5–6；https://ir.weride.ai/static-files/72a895d1-7999-4f63-9d97-476c54e7ecab
披露</t>
      </text>
    </comment>
    <comment ref="B227" authorId="0" shapeId="0">
      <text>
        <t>FY2025_20F PDF页173–174/F-6–7；https://ir.weride.ai/system/files-encrypted/nasdaq_kms/assets/2026/04/23/10-08-17/20-F.pdf
披露</t>
      </text>
    </comment>
    <comment ref="B228" authorId="0" shapeId="0">
      <text>
        <t>FY2025_20F PDF页173–174/F-6–7；https://ir.weride.ai/system/files-encrypted/nasdaq_kms/assets/2026/04/23/10-08-17/20-F.pdf
披露</t>
      </text>
    </comment>
    <comment ref="B229" authorId="0" shapeId="0">
      <text>
        <t>2026H1_interim PDF页49–50/48–49；66–67/65–66；https://www.hkexnews.hk/listedco/listconews/sehk/2026/0914/2026091401019.pdf
披露</t>
      </text>
    </comment>
    <comment ref="B230" authorId="0" shapeId="0">
      <text>
        <t>2024_US_424B4 PDF页281–282/F-5–6；https://ir.weride.ai/static-files/406cbf25-bb49-4020-b913-f9cca1283c6e
披露</t>
      </text>
    </comment>
    <comment ref="B231" authorId="0" shapeId="0">
      <text>
        <t>FY2024_20F PDF页171–172/F-5–6；https://ir.weride.ai/static-files/72a895d1-7999-4f63-9d97-476c54e7ecab
披露</t>
      </text>
    </comment>
    <comment ref="B232" authorId="0" shapeId="0">
      <text>
        <t>FY2025_20F PDF页173–174/F-6–7；https://ir.weride.ai/system/files-encrypted/nasdaq_kms/assets/2026/04/23/10-08-17/20-F.pdf
披露</t>
      </text>
    </comment>
    <comment ref="B233" authorId="0" shapeId="0">
      <text>
        <t>FY2025_20F PDF页173–174/F-6–7；https://ir.weride.ai/system/files-encrypted/nasdaq_kms/assets/2026/04/23/10-08-17/20-F.pdf
披露</t>
      </text>
    </comment>
    <comment ref="B234" authorId="0" shapeId="0">
      <text>
        <t>2026H1_interim PDF页49–50/48–49；66–67/65–66；https://www.hkexnews.hk/listedco/listconews/sehk/2026/0914/2026091401019.pdf
披露</t>
      </text>
    </comment>
    <comment ref="B235" authorId="0" shapeId="0">
      <text>
        <t>2024_US_424B4 PDF页281–282/F-5–6；https://ir.weride.ai/static-files/406cbf25-bb49-4020-b913-f9cca1283c6e
披露</t>
      </text>
    </comment>
    <comment ref="B236" authorId="0" shapeId="0">
      <text>
        <t>FY2024_20F PDF页171–172/F-5–6；https://ir.weride.ai/static-files/72a895d1-7999-4f63-9d97-476c54e7ecab
披露</t>
      </text>
    </comment>
    <comment ref="B237" authorId="0" shapeId="0">
      <text>
        <t>FY2025_20F PDF页173–174/F-6–7；https://ir.weride.ai/system/files-encrypted/nasdaq_kms/assets/2026/04/23/10-08-17/20-F.pdf
披露</t>
      </text>
    </comment>
    <comment ref="B238" authorId="0" shapeId="0">
      <text>
        <t>FY2025_20F PDF页173–174/F-6–7；https://ir.weride.ai/system/files-encrypted/nasdaq_kms/assets/2026/04/23/10-08-17/20-F.pdf
披露</t>
      </text>
    </comment>
    <comment ref="B239" authorId="0" shapeId="0">
      <text>
        <t>2026H1_interim PDF页49–50/48–49；66–67/65–66；https://www.hkexnews.hk/listedco/listconews/sehk/2026/0914/2026091401019.pdf
披露</t>
      </text>
    </comment>
    <comment ref="B240" authorId="0" shapeId="0">
      <text>
        <t>FY2024_20F PDF页171–172/F-5–6；https://ir.weride.ai/static-files/72a895d1-7999-4f63-9d97-476c54e7ecab
披露</t>
      </text>
    </comment>
    <comment ref="B241" authorId="0" shapeId="0">
      <text>
        <t>FY2025_20F PDF页173–174/F-6–7；https://ir.weride.ai/system/files-encrypted/nasdaq_kms/assets/2026/04/23/10-08-17/20-F.pdf
披露</t>
      </text>
    </comment>
    <comment ref="B242" authorId="0" shapeId="0">
      <text>
        <t>FY2025_20F PDF页173–174/F-6–7；https://ir.weride.ai/system/files-encrypted/nasdaq_kms/assets/2026/04/23/10-08-17/20-F.pdf
披露</t>
      </text>
    </comment>
    <comment ref="B243" authorId="0" shapeId="0">
      <text>
        <t>2026H1_interim PDF页49–50/48–49；66–67/65–66；https://www.hkexnews.hk/listedco/listconews/sehk/2026/0914/2026091401019.pdf
披露</t>
      </text>
    </comment>
    <comment ref="B244" authorId="0" shapeId="0">
      <text>
        <t>2026H1_interim PDF页49–50/48–49；66–67/65–66；https://www.hkexnews.hk/listedco/listconews/sehk/2026/0914/2026091401019.pdf
披露</t>
      </text>
    </comment>
    <comment ref="B245" authorId="0" shapeId="0">
      <text>
        <t>2026H1_interim PDF页49–50/48–49；66–67/65–66；https://www.hkexnews.hk/listedco/listconews/sehk/2026/0914/2026091401019.pdf
披露</t>
      </text>
    </comment>
    <comment ref="B246" authorId="0" shapeId="0">
      <text>
        <t>2026H1_interim PDF页49–50/48–49；66–67/65–66；https://www.hkexnews.hk/listedco/listconews/sehk/2026/0914/2026091401019.pdf
披露</t>
      </text>
    </comment>
    <comment ref="B247" authorId="0" shapeId="0">
      <text>
        <t>2026H1_interim PDF页49–50/48–49；66–67/65–66；https://www.hkexnews.hk/listedco/listconews/sehk/2026/0914/2026091401019.pdf
披露</t>
      </text>
    </comment>
    <comment ref="B248" authorId="0" shapeId="0">
      <text>
        <t>2024_US_424B4 PDF页281–282/F-5–6；https://ir.weride.ai/static-files/406cbf25-bb49-4020-b913-f9cca1283c6e
披露</t>
      </text>
    </comment>
    <comment ref="B249" authorId="0" shapeId="0">
      <text>
        <t>FY2024_20F PDF页171–172/F-5–6；https://ir.weride.ai/static-files/72a895d1-7999-4f63-9d97-476c54e7ecab
披露</t>
      </text>
    </comment>
    <comment ref="B250" authorId="0" shapeId="0">
      <text>
        <t>FY2025_20F PDF页173–174/F-6–7；https://ir.weride.ai/system/files-encrypted/nasdaq_kms/assets/2026/04/23/10-08-17/20-F.pdf
披露</t>
      </text>
    </comment>
    <comment ref="B251" authorId="0" shapeId="0">
      <text>
        <t>FY2025_20F PDF页173–174/F-6–7；https://ir.weride.ai/system/files-encrypted/nasdaq_kms/assets/2026/04/23/10-08-17/20-F.pdf
披露</t>
      </text>
    </comment>
    <comment ref="B252" authorId="0" shapeId="0">
      <text>
        <t>2026H1_interim PDF页49–50/48–49；66–67/65–66；https://www.hkexnews.hk/listedco/listconews/sehk/2026/0914/2026091401019.pdf
披露</t>
      </text>
    </comment>
    <comment ref="B253" authorId="0" shapeId="0">
      <text>
        <t>2024_US_424B4 PDF页281–282/F-5–6；https://ir.weride.ai/static-files/406cbf25-bb49-4020-b913-f9cca1283c6e
披露</t>
      </text>
    </comment>
    <comment ref="B254" authorId="0" shapeId="0">
      <text>
        <t>FY2024_20F PDF页171–172/F-5–6；https://ir.weride.ai/static-files/72a895d1-7999-4f63-9d97-476c54e7ecab
披露</t>
      </text>
    </comment>
    <comment ref="B255" authorId="0" shapeId="0">
      <text>
        <t>FY2025_20F PDF页173–174/F-6–7；https://ir.weride.ai/system/files-encrypted/nasdaq_kms/assets/2026/04/23/10-08-17/20-F.pdf
披露</t>
      </text>
    </comment>
    <comment ref="B256" authorId="0" shapeId="0">
      <text>
        <t>FY2025_20F PDF页173–174/F-6–7；https://ir.weride.ai/system/files-encrypted/nasdaq_kms/assets/2026/04/23/10-08-17/20-F.pdf
披露</t>
      </text>
    </comment>
    <comment ref="B257" authorId="0" shapeId="0">
      <text>
        <t>2026H1_interim PDF页49–50/48–49；66–67/65–66；https://www.hkexnews.hk/listedco/listconews/sehk/2026/0914/2026091401019.pdf
披露</t>
      </text>
    </comment>
    <comment ref="B258" authorId="0" shapeId="0">
      <text>
        <t>2026H1_interim PDF页43/42；73/72；75–77/74–76；https://www.hkexnews.hk/listedco/listconews/sehk/2026/0914/2026091401019.pdf
披露</t>
      </text>
    </comment>
    <comment ref="B259" authorId="0" shapeId="0">
      <text>
        <t>2026H1_interim PDF页43/42；73/72；75–77/74–76；https://www.hkexnews.hk/listedco/listconews/sehk/2026/0914/2026091401019.pdf
披露</t>
      </text>
    </comment>
    <comment ref="B260" authorId="0" shapeId="0">
      <text>
        <t>2026H1_interim PDF页43/42；73/72；75–77/74–76；https://www.hkexnews.hk/listedco/listconews/sehk/2026/0914/2026091401019.pdf
披露</t>
      </text>
    </comment>
    <comment ref="B261" authorId="0" shapeId="0">
      <text>
        <t>2026H1_interim PDF页43/42；73/72；75–77/74–76；https://www.hkexnews.hk/listedco/listconews/sehk/2026/0914/2026091401019.pdf
披露</t>
      </text>
    </comment>
    <comment ref="B262" authorId="0" shapeId="0">
      <text>
        <t>2026H1_interim PDF页43/42；73/72；75–77/74–76；https://www.hkexnews.hk/listedco/listconews/sehk/2026/0914/2026091401019.pdf
披露</t>
      </text>
    </comment>
    <comment ref="B263" authorId="0" shapeId="0">
      <text>
        <t>2026H1_interim PDF页43/42；73/72；75–77/74–76；https://www.hkexnews.hk/listedco/listconews/sehk/2026/0914/2026091401019.pdf
披露</t>
      </text>
    </comment>
    <comment ref="B264" authorId="0" shapeId="0">
      <text>
        <t>2026H1_interim PDF页43/42；73/72；75–77/74–76；https://www.hkexnews.hk/listedco/listconews/sehk/2026/0914/2026091401019.pdf
披露</t>
      </text>
    </comment>
    <comment ref="B265" authorId="0" shapeId="0">
      <text>
        <t>2026H1_interim PDF页43/42；73/72；75–77/74–76；https://www.hkexnews.hk/listedco/listconews/sehk/2026/0914/2026091401019.pdf
披露</t>
      </text>
    </comment>
    <comment ref="B266" authorId="0" shapeId="0">
      <text>
        <t>2026H1_interim PDF页47/46；53–54/52–53；https://www.hkexnews.hk/listedco/listconews/sehk/2026/0914/2026091401019.pdf
披露</t>
      </text>
    </comment>
    <comment ref="B267" authorId="0" shapeId="0">
      <text>
        <t>2026H1_interim PDF页47/46；53–54/52–53；https://www.hkexnews.hk/listedco/listconews/sehk/2026/0914/2026091401019.pdf
披露</t>
      </text>
    </comment>
    <comment ref="B268" authorId="0" shapeId="0">
      <text>
        <t>2026H1_interim PDF页47/46；53–54/52–53；https://www.hkexnews.hk/listedco/listconews/sehk/2026/0914/2026091401019.pdf
披露</t>
      </text>
    </comment>
    <comment ref="B269" authorId="0" shapeId="0">
      <text>
        <t>2026H1_interim PDF页47/46；53–54/52–53；https://www.hkexnews.hk/listedco/listconews/sehk/2026/0914/2026091401019.pdf
披露</t>
      </text>
    </comment>
    <comment ref="B270" authorId="0" shapeId="0">
      <text>
        <t>2026H1_interim PDF页47/46；53–54/52–53；https://www.hkexnews.hk/listedco/listconews/sehk/2026/0914/2026091401019.pdf
披露</t>
      </text>
    </comment>
    <comment ref="B271" authorId="0" shapeId="0">
      <text>
        <t>FY2025_20F PDF页171/F-4；178/F-11；111/108；https://ir.weride.ai/system/files-encrypted/nasdaq_kms/assets/2026/04/23/10-08-17/20-F.pdf
披露</t>
      </text>
    </comment>
    <comment ref="B272" authorId="0" shapeId="0">
      <text>
        <t>FY2025_20F PDF页171/F-4；178/F-11；111/108；https://ir.weride.ai/system/files-encrypted/nasdaq_kms/assets/2026/04/23/10-08-17/20-F.pdf
披露</t>
      </text>
    </comment>
    <comment ref="B273" authorId="0" shapeId="0">
      <text>
        <t>FY2025_20F PDF页171/F-4；178/F-11；111/108；https://ir.weride.ai/system/files-encrypted/nasdaq_kms/assets/2026/04/23/10-08-17/20-F.pdf
披露</t>
      </text>
    </comment>
    <comment ref="B274" authorId="0" shapeId="0">
      <text>
        <t>2026H1_interim PDF页47/46；53–54/52–53；https://www.hkexnews.hk/listedco/listconews/sehk/2026/0914/2026091401019.pdf
披露</t>
      </text>
    </comment>
    <comment ref="B275" authorId="0" shapeId="0">
      <text>
        <t>2026H1_interim PDF页47/46；53–54/52–53；https://www.hkexnews.hk/listedco/listconews/sehk/2026/0914/2026091401019.pdf
披露</t>
      </text>
    </comment>
    <comment ref="B276" authorId="0" shapeId="0">
      <text>
        <t>2026H1_interim PDF页47/46；53–54/52–53；https://www.hkexnews.hk/listedco/listconews/sehk/2026/0914/2026091401019.pdf
披露</t>
      </text>
    </comment>
    <comment ref="B277" authorId="0" shapeId="0">
      <text>
        <t>PONY_2026Q2公告汇率说明（2026-06-30美联储H.10）
披露汇率</t>
      </text>
    </comment>
    <comment ref="B278" authorId="0" shapeId="0">
      <text>
        <t>Noah v1.2 [C1]/[C3]；其余为本报告显式分析假设或单位常数
假设/单位常数；非公司指引</t>
      </text>
    </comment>
    <comment ref="B279" authorId="0" shapeId="0">
      <text>
        <t>Noah v1.2 [C1]/[C3]；其余为本报告显式分析假设或单位常数
假设/单位常数；非公司指引</t>
      </text>
    </comment>
    <comment ref="B280" authorId="0" shapeId="0">
      <text>
        <t>Noah v1.2 [C1]/[C3]；其余为本报告显式分析假设或单位常数
假设/单位常数；非公司指引</t>
      </text>
    </comment>
    <comment ref="B281" authorId="0" shapeId="0">
      <text>
        <t>Noah v1.2 [C1]/[C3]；其余为本报告显式分析假设或单位常数
假设/单位常数；非公司指引</t>
      </text>
    </comment>
    <comment ref="B282" authorId="0" shapeId="0">
      <text>
        <t>Noah v1.2 [C1]/[C3]；其余为本报告显式分析假设或单位常数
假设/单位常数；非公司指引</t>
      </text>
    </comment>
    <comment ref="B283" authorId="0" shapeId="0">
      <text>
        <t>Noah v1.2 [C1]/[C3]；其余为本报告显式分析假设或单位常数
假设/单位常数；非公司指引</t>
      </text>
    </comment>
    <comment ref="B284" authorId="0" shapeId="0">
      <text>
        <t>Noah v1.2 [C1]/[C3]；其余为本报告显式分析假设或单位常数
假设/单位常数；非公司指引</t>
      </text>
    </comment>
    <comment ref="B285" authorId="0" shapeId="0">
      <text>
        <t>https://push2.eastmoney.com/api/qt/stock/get?secid=105.WRD&amp;fields=f43%2Cf57%2Cf58%2Cf59%2Cf84%2Cf86%2Cf116%2Cf117%2Cf162%2Cf167；2026-09-16收盘
行情；非完全摊薄股本</t>
      </text>
    </comment>
    <comment ref="B286" authorId="0" shapeId="0">
      <text>
        <t>https://push2.eastmoney.com/api/qt/stock/get?secid=105.WRD&amp;fields=f43%2Cf57%2Cf58%2Cf59%2Cf84%2Cf86%2Cf116%2Cf117%2Cf162%2Cf167；2026-09-16收盘
行情；非完全摊薄股本</t>
      </text>
    </comment>
    <comment ref="B287" authorId="0" shapeId="0">
      <text>
        <t>https://push2.eastmoney.com/api/qt/stock/get?secid=105.WRD&amp;fields=f43%2Cf57%2Cf58%2Cf59%2Cf84%2Cf86%2Cf116%2Cf117%2Cf162%2Cf167；2026-09-16收盘
行情；非完全摊薄股本</t>
      </text>
    </comment>
    <comment ref="B288" authorId="0" shapeId="0">
      <text>
        <t>https://push2.eastmoney.com/api/qt/stock/get?secid=105.WRD&amp;fields=f43%2Cf57%2Cf58%2Cf59%2Cf84%2Cf86%2Cf116%2Cf117%2Cf162%2Cf167；2026-09-16收盘
行情；非完全摊薄股本</t>
      </text>
    </comment>
    <comment ref="B289" authorId="0" shapeId="0">
      <text>
        <t>https://push2.eastmoney.com/api/qt/stock/get?secid=105.PONY&amp;fields=f43%2Cf57%2Cf58%2Cf59%2Cf84%2Cf86%2Cf116%2Cf117%2Cf162%2Cf167；2026-09-16收盘
行情；非完全摊薄股本</t>
      </text>
    </comment>
    <comment ref="B290" authorId="0" shapeId="0">
      <text>
        <t>https://push2.eastmoney.com/api/qt/stock/get?secid=105.PONY&amp;fields=f43%2Cf57%2Cf58%2Cf59%2Cf84%2Cf86%2Cf116%2Cf117%2Cf162%2Cf167；2026-09-16收盘
行情；非完全摊薄股本</t>
      </text>
    </comment>
    <comment ref="B291" authorId="0" shapeId="0">
      <text>
        <t>https://push2.eastmoney.com/api/qt/stock/get?secid=105.PONY&amp;fields=f43%2Cf57%2Cf58%2Cf59%2Cf84%2Cf86%2Cf116%2Cf117%2Cf162%2Cf167；2026-09-16收盘
行情；非完全摊薄股本</t>
      </text>
    </comment>
    <comment ref="B292" authorId="0" shapeId="0">
      <text>
        <t>https://push2.eastmoney.com/api/qt/stock/get?secid=105.PONY&amp;fields=f43%2Cf57%2Cf58%2Cf59%2Cf84%2Cf86%2Cf116%2Cf117%2Cf162%2Cf167；2026-09-16收盘
行情；非完全摊薄股本</t>
      </text>
    </comment>
    <comment ref="B293" authorId="0" shapeId="0">
      <text>
        <t>https://push2.eastmoney.com/api/qt/stock/get?secid=105.AUR&amp;fields=f43%2Cf57%2Cf58%2Cf59%2Cf84%2Cf86%2Cf116%2Cf117%2Cf162%2Cf167；2026-09-16收盘
行情；非完全摊薄股本</t>
      </text>
    </comment>
    <comment ref="B294" authorId="0" shapeId="0">
      <text>
        <t>https://push2.eastmoney.com/api/qt/stock/get?secid=105.AUR&amp;fields=f43%2Cf57%2Cf58%2Cf59%2Cf84%2Cf86%2Cf116%2Cf117%2Cf162%2Cf167；2026-09-16收盘
行情；非完全摊薄股本</t>
      </text>
    </comment>
    <comment ref="B295" authorId="0" shapeId="0">
      <text>
        <t>https://push2.eastmoney.com/api/qt/stock/get?secid=105.AUR&amp;fields=f43%2Cf57%2Cf58%2Cf59%2Cf84%2Cf86%2Cf116%2Cf117%2Cf162%2Cf167；2026-09-16收盘
行情；非完全摊薄股本</t>
      </text>
    </comment>
    <comment ref="B296" authorId="0" shapeId="0">
      <text>
        <t>https://push2.eastmoney.com/api/qt/stock/get?secid=105.AUR&amp;fields=f43%2Cf57%2Cf58%2Cf59%2Cf84%2Cf86%2Cf116%2Cf117%2Cf162%2Cf167；2026-09-16收盘
行情；非完全摊薄股本</t>
      </text>
    </comment>
    <comment ref="B297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298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299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0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1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2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3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4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5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6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7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8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09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10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11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12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13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14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15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16" authorId="0" shapeId="0">
      <text>
        <t>PONY_2026Q2_webfetch.txt；官方公告三表及Non-GAAP调节表；https://ir.pony.ai/news-releases/news-release-details/pony-ai-inc-reports-second-quarter-2026-financial-results-total
半年未经审计；capex精确值已核，Q1 12455+Q2 32163=44618</t>
      </text>
    </comment>
    <comment ref="B317" authorId="0" shapeId="0">
      <text>
        <t>FY2025_20F PDF页196–197/F-29–30；附注4/5；https://ir.weride.ai/system/files-encrypted/nasdaq_kms/assets/2026/04/23/10-08-17/20-F.pdf
披露</t>
      </text>
    </comment>
    <comment ref="B318" authorId="0" shapeId="0">
      <text>
        <t>FY2025_20F PDF页196–197/F-29–30；附注4/5；https://ir.weride.ai/system/files-encrypted/nasdaq_kms/assets/2026/04/23/10-08-17/20-F.pdf
披露</t>
      </text>
    </comment>
    <comment ref="B319" authorId="0" shapeId="0">
      <text>
        <t>FY2025_20F PDF页196–197/F-29–30；附注4/5；https://ir.weride.ai/system/files-encrypted/nasdaq_kms/assets/2026/04/23/10-08-17/20-F.pdf
披露</t>
      </text>
    </comment>
    <comment ref="B320" authorId="0" shapeId="0">
      <text>
        <t>FY2025_20F PDF页196–197/F-29–30；附注4/5；https://ir.weride.ai/system/files-encrypted/nasdaq_kms/assets/2026/04/23/10-08-17/20-F.pdf
披露</t>
      </text>
    </comment>
    <comment ref="B321" authorId="0" shapeId="0">
      <text>
        <t>FY2025_20F PDF页196–197/F-29–30；附注4/5；https://ir.weride.ai/system/files-encrypted/nasdaq_kms/assets/2026/04/23/10-08-17/20-F.pdf
披露</t>
      </text>
    </comment>
    <comment ref="B322" authorId="0" shapeId="0">
      <text>
        <t>FY2025_20F PDF页196–197/F-29–30；附注4/5；https://ir.weride.ai/system/files-encrypted/nasdaq_kms/assets/2026/04/23/10-08-17/20-F.pdf
披露</t>
      </text>
    </comment>
    <comment ref="B323" authorId="0" shapeId="0">
      <text>
        <t>FY2025_20F PDF页196–197/F-29–30；附注4/5；https://ir.weride.ai/system/files-encrypted/nasdaq_kms/assets/2026/04/23/10-08-17/20-F.pdf
披露</t>
      </text>
    </comment>
    <comment ref="B324" authorId="0" shapeId="0">
      <text>
        <t>FY2025_20F PDF页196–197/F-29–30；附注4/5；https://ir.weride.ai/system/files-encrypted/nasdaq_kms/assets/2026/04/23/10-08-17/20-F.pdf
披露</t>
      </text>
    </comment>
    <comment ref="B325" authorId="0" shapeId="0">
      <text>
        <t>FY2025_20F PDF页196–197/F-29–30；附注4/5；https://ir.weride.ai/system/files-encrypted/nasdaq_kms/assets/2026/04/23/10-08-17/20-F.pdf
披露</t>
      </text>
    </comment>
    <comment ref="B326" authorId="0" shapeId="0">
      <text>
        <t>FY2025_20F PDF页196–197/F-29–30；附注4/5；https://ir.weride.ai/system/files-encrypted/nasdaq_kms/assets/2026/04/23/10-08-17/20-F.pdf
披露</t>
      </text>
    </comment>
    <comment ref="B327" authorId="0" shapeId="0">
      <text>
        <t>FY2025_20F PDF页196–197/F-29–30；附注4/5；https://ir.weride.ai/system/files-encrypted/nasdaq_kms/assets/2026/04/23/10-08-17/20-F.pdf
披露</t>
      </text>
    </comment>
    <comment ref="B328" authorId="0" shapeId="0">
      <text>
        <t>FY2025_20F PDF页196–197/F-29–30；附注4/5；https://ir.weride.ai/system/files-encrypted/nasdaq_kms/assets/2026/04/23/10-08-17/20-F.pdf
披露</t>
      </text>
    </comment>
    <comment ref="B329" authorId="0" shapeId="0">
      <text>
        <t>FY2025_20F PDF页196–197/F-29–30；附注4/5；https://ir.weride.ai/system/files-encrypted/nasdaq_kms/assets/2026/04/23/10-08-17/20-F.pdf
披露</t>
      </text>
    </comment>
    <comment ref="B330" authorId="0" shapeId="0">
      <text>
        <t>FY2025_20F PDF页196–197/F-29–30；附注4/5；https://ir.weride.ai/system/files-encrypted/nasdaq_kms/assets/2026/04/23/10-08-17/20-F.pdf
披露</t>
      </text>
    </comment>
    <comment ref="B331" authorId="0" shapeId="0">
      <text>
        <t>FY2025_20F PDF页196–197/F-29–30；附注4/5；https://ir.weride.ai/system/files-encrypted/nasdaq_kms/assets/2026/04/23/10-08-17/20-F.pdf
披露</t>
      </text>
    </comment>
    <comment ref="B332" authorId="0" shapeId="0">
      <text>
        <t>FY2025_20F PDF页196–197/F-29–30；附注4/5；https://ir.weride.ai/system/files-encrypted/nasdaq_kms/assets/2026/04/23/10-08-17/20-F.pdf
披露</t>
      </text>
    </comment>
    <comment ref="B333" authorId="0" shapeId="0">
      <text>
        <t>FY2025_20F PDF页196–197/F-29–30；附注4/5；https://ir.weride.ai/system/files-encrypted/nasdaq_kms/assets/2026/04/23/10-08-17/20-F.pdf
披露</t>
      </text>
    </comment>
    <comment ref="B334" authorId="0" shapeId="0">
      <text>
        <t>FY2025_20F PDF页196–197/F-29–30；附注4/5；https://ir.weride.ai/system/files-encrypted/nasdaq_kms/assets/2026/04/23/10-08-17/20-F.pdf
披露</t>
      </text>
    </comment>
    <comment ref="B335" authorId="0" shapeId="0">
      <text>
        <t>2026H1_interim PDF页57–59/56–58；附注3/4；https://www.hkexnews.hk/listedco/listconews/sehk/2026/0914/2026091401019.pdf
披露</t>
      </text>
    </comment>
    <comment ref="B336" authorId="0" shapeId="0">
      <text>
        <t>2026H1_interim PDF页57–59/56–58；附注3/4；https://www.hkexnews.hk/listedco/listconews/sehk/2026/0914/2026091401019.pdf
披露</t>
      </text>
    </comment>
    <comment ref="B337" authorId="0" shapeId="0">
      <text>
        <t>2026H1_interim PDF页57–59/56–58；附注3/4；https://www.hkexnews.hk/listedco/listconews/sehk/2026/0914/2026091401019.pdf
披露</t>
      </text>
    </comment>
    <comment ref="B338" authorId="0" shapeId="0">
      <text>
        <t>2026H1_interim PDF页57–59/56–58；附注3/4；https://www.hkexnews.hk/listedco/listconews/sehk/2026/0914/2026091401019.pdf
披露</t>
      </text>
    </comment>
    <comment ref="B339" authorId="0" shapeId="0">
      <text>
        <t>2026H1_interim PDF页57–59/56–58；附注3/4；https://www.hkexnews.hk/listedco/listconews/sehk/2026/0914/2026091401019.pdf
披露</t>
      </text>
    </comment>
    <comment ref="B340" authorId="0" shapeId="0">
      <text>
        <t>2026H1_interim PDF页57–59/56–58；附注3/4；https://www.hkexnews.hk/listedco/listconews/sehk/2026/0914/2026091401019.pdf
披露</t>
      </text>
    </comment>
    <comment ref="B341" authorId="0" shapeId="0">
      <text>
        <t>本报告T5探索情景假设：硬件/项目混合业务，非公司指引；PE档不适用
估算假设</t>
      </text>
    </comment>
    <comment ref="B342" authorId="0" shapeId="0">
      <text>
        <t>本报告T5探索情景假设：硬件/项目混合业务，非公司指引；PE档不适用
估算假设</t>
      </text>
    </comment>
    <comment ref="B343" authorId="0" shapeId="0">
      <text>
        <t>本报告T5探索情景假设：硬件/项目混合业务，非公司指引；PE档不适用
估算假设</t>
      </text>
    </comment>
    <comment ref="B344" authorId="0" shapeId="0">
      <text>
        <t>本报告T5探索情景假设：硬件/项目混合业务，非公司指引；PE档不适用
估算假设</t>
      </text>
    </comment>
    <comment ref="B345" authorId="0" shapeId="0">
      <text>
        <t>本报告T5探索情景假设：硬件/项目混合业务，非公司指引；PE档不适用
估算假设</t>
      </text>
    </comment>
    <comment ref="B346" authorId="0" shapeId="0">
      <text>
        <t>本报告T5探索情景假设：硬件/项目混合业务，非公司指引；PE档不适用
估算假设</t>
      </text>
    </comment>
    <comment ref="B347" authorId="0" shapeId="0">
      <text>
        <t>本报告T5探索情景假设：硬件/项目混合业务，非公司指引；PE档不适用
估算假设</t>
      </text>
    </comment>
    <comment ref="B348" authorId="0" shapeId="0">
      <text>
        <t>本报告T5探索情景假设：硬件/项目混合业务，非公司指引；PE档不适用
估算假设</t>
      </text>
    </comment>
    <comment ref="B349" authorId="0" shapeId="0">
      <text>
        <t>本报告T5探索情景假设：硬件/项目混合业务，非公司指引；PE档不适用
估算假设</t>
      </text>
    </comment>
    <comment ref="B350" authorId="0" shapeId="0">
      <text>
        <t>本报告T5探索情景假设：硬件/项目混合业务，非公司指引；PE档不适用
估算假设</t>
      </text>
    </comment>
    <comment ref="B351" authorId="0" shapeId="0">
      <text>
        <t>本报告T5探索情景假设：硬件/项目混合业务，非公司指引；PE档不适用
估算假设</t>
      </text>
    </comment>
    <comment ref="B352" authorId="0" shapeId="0">
      <text>
        <t>本报告T5探索情景假设：硬件/项目混合业务，非公司指引；PE档不适用
估算假设</t>
      </text>
    </comment>
    <comment ref="B353" authorId="0" shapeId="0">
      <text>
        <t>本报告T5探索情景假设：硬件/项目混合业务，非公司指引；PE档不适用
估算假设</t>
      </text>
    </comment>
    <comment ref="B354" authorId="0" shapeId="0">
      <text>
        <t>本报告T5探索情景假设：硬件/项目混合业务，非公司指引；PE档不适用
估算假设</t>
      </text>
    </comment>
    <comment ref="B355" authorId="0" shapeId="0">
      <text>
        <t>本报告T5探索情景假设：硬件/项目混合业务，非公司指引；PE档不适用
估算假设</t>
      </text>
    </comment>
    <comment ref="B356" authorId="0" shapeId="0">
      <text>
        <t>本报告账面敏感性假设
假设</t>
      </text>
    </comment>
    <comment ref="B357" authorId="0" shapeId="0">
      <text>
        <t>本报告账面敏感性假设
假设</t>
      </text>
    </comment>
    <comment ref="B358" authorId="0" shapeId="0">
      <text>
        <t>本报告账面敏感性假设
假设</t>
      </text>
    </comment>
    <comment ref="B359" authorId="0" shapeId="0">
      <text>
        <t>本报告账面敏感性假设
假设</t>
      </text>
    </comment>
  </commentList>
</comments>
</file>

<file path=xl/comments/comment2.xml><?xml version="1.0" encoding="utf-8"?>
<comments xmlns="http://schemas.openxmlformats.org/spreadsheetml/2006/main">
  <authors>
    <author>来源</author>
  </authors>
  <commentList>
    <comment ref="B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5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6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7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8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9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0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1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2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3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4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5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6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7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8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19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0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1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2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3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4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5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6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7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8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29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0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1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2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3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4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5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6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7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8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39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0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1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2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3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4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5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5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6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7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8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69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70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71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72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73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  <comment ref="B474" authorId="0" shapeId="0">
      <text>
        <t>https://push2his.eastmoney.com/api/qt/stock/kline/get?secid=105.WRD&amp;klt=101&amp;fqt=0&amp;beg=20241001&amp;end=20260916&amp;lmt=1000&amp;fields1=f1%2Cf2%2Cf3%2Cf4%2Cf5%2Cf6&amp;fields2=f51%2Cf52%2Cf53%2Cf54%2Cf55%2Cf56%2Cf57%2Cf58%2Cf59%2Cf60%2Cf61；2026-09-17采集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28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35" customWidth="1" min="1" max="1"/>
  </ns0:cols>
  <ns0:sheetData>
    <ns0:row r="1">
      <ns0:c r="A1" s="15" t="inlineStr">
        <ns0:is>
          <ns0:t>文远知行｜2026-09研究底稿｜用户指定版本 Sonus</ns0:t>
        </ns0:is>
      </ns0:c>
    </ns0:row>
    <ns0:row r="2">
      <ns0:c r="A2" s="16" t="inlineStr">
        <ns0:is>
          <ns0:t>金额展示为人民币百万，同行表USD百万；原始输入保留千元。</ns0:t>
        </ns0:is>
      </ns0:c>
    </ns0:row>
    <ns0:row r="3">
      <ns0:c r="A3" s="16" t="inlineStr">
        <ns0:is>
          <ns0:t>蓝字=原始输入，黑字=同表公式，绿字=跨表公式；黄色=假设/待核。</ns0:t>
        </ns0:is>
      </ns0:c>
    </ns0:row>
    <ns0:row r="4">
      <ns0:c r="A4" s="16" t="inlineStr">
        <ns0:is>
          <ns0:t>期间：FY2021–FY2025及H1 2023–2026；仅两份独立20-F，以招股书补历史。</ns0:t>
        </ns0:is>
      </ns0:c>
    </ns0:row>
    <ns0:row r="5">
      <ns0:c r="A5" s="16" t="inlineStr">
        <ns0:is>
          <ns0:t>FY2021完整集团资产负债表未取得，空缺标“未取得”，不将VIE资产负债表替代集团。</ns0:t>
        </ns0:is>
      </ns0:c>
    </ns0:row>
    <ns0:row r="6">
      <ns0:c r="A6" s="16" t="inlineStr">
        <ns0:is>
          <ns0:t>文远全期IFRS；PONY为US GAAP。车辆级UE不等于公司级FCF。</ns0:t>
        </ns0:is>
      </ns0:c>
    </ns0:row>
    <ns0:row r="7">
      <ns0:c r="A7" s="16" t="inlineStr">
        <ns0:is>
          <ns0:t>最新三表：2026中报PDF47、49–50、53–54；审阅而非审计。</ns0:t>
        </ns0:is>
      </ns0:c>
    </ns0:row>
    <ns0:row r="8">
      <ns0:c r="A8" s="16" t="inlineStr">
        <ns0:is>
          <ns0:t>FCF=OCF−购置固定资产−购置无形资产；另列扣租赁本金/利息及贷款利息的压力口径。</ns0:t>
        </ns0:is>
      </ns0:c>
    </ns0:row>
    <ns0:row r="9">
      <ns0:c r="A9" s="16" t="inlineStr">
        <ns0:is>
          <ns0:t>历史半年OCF采用较新HK招股书：H1 2024为−327.180，旧美招股书为−327.558；差额仍待附注解释。</ns0:t>
        </ns0:is>
      </ns0:c>
    </ns0:row>
    <ns0:row r="10">
      <ns0:c r="A10" s="16" t="inlineStr">
        <ns0:is>
          <ns0:t>归母损益不等于IPO前普通股股东损益：FY2023视同分派32.767未扣在归母行。</ns0:t>
        </ns0:is>
      </ns0:c>
    </ns0:row>
    <ns0:row r="11">
      <ns0:c r="A11" s="16" t="inlineStr">
        <ns0:is>
          <ns0:t>所有输入均在7_原始输入及6_取数日志；所有派生数均为公式。</ns0:t>
        </ns0:is>
      </ns0:c>
    </ns0:row>
    <ns0:row r="12">
      <ns0:c r="A12" s="16" t="inlineStr">
        <ns0:is>
          <ns0:t>三锚点：FY2024收入/归母/总资产与SEC ifrs-full逐值一致；SEC缓存未覆盖最新年度，不宣称最新也已双源核。</ns0:t>
        </ns0:is>
      </ns0:c>
    </ns0:row>
    <ns0:row r="13">
      <ns0:c r="A13" s="16" t="inlineStr">
        <ns0:is>
          <ns0:t>行情统一2026-09-16收盘；价格分位只作上市以来位置，不是估值分位。</ns0:t>
        </ns0:is>
      </ns0:c>
    </ns0:row>
    <ns0:row r="14">
      <ns0:c r="A14" s="16" t="inlineStr">
        <ns0:is>
          <ns0:t>现金池按账面值：不受限现金+定存+流动金融资产，不代表全部等同无风险现金。</ns0:t>
        </ns0:is>
      </ns0:c>
    </ns0:row>
    <ns0:row r="15">
      <ns0:c r="A15" s="16" t="inlineStr">
        <ns0:is>
          <ns0:t>跑道=期末现金池÷历史月均现金消耗，为静态压力刻度，不是半年度×2全年预测。</ns0:t>
        </ns0:is>
      </ns0:c>
    </ns0:row>
    <ns0:row r="16">
      <ns0:c r="A16" s="16" t="inlineStr">
        <ns0:is>
          <ns0:t>PS情景是2036年收入/权益PS反推；零终值净现金加成；稀释独立显式输入，不给收益保证。</ns0:t>
        </ns0:is>
      </ns0:c>
    </ns0:row>
    <ns0:row r="17">
      <ns0:c r="A17" s="16" t="inlineStr">
        <ns0:is>
          <ns0:t>本机没有LibreOffice；限定算术公式逐格求值并写缓存、开启Excel打开时重算；未获Office原生重算验证。</ns0:t>
        </ns0:is>
      </ns0:c>
    </ns0:row>
    <ns0:row r="18">
      <ns0:c r="A18" s="16" t="inlineStr">
        <ns0:is>
          <ns0:t>原始来源、SHA256见source_manifest.json；公式测试及勾稽见workbook_validation.json。</ns0:t>
        </ns0:is>
      </ns0:c>
    </ns0:row>
    <ns0:row r="19">
      <ns0:c r="A19" s="2" t="n"/>
    </ns0:row>
    <ns0:row r="20">
      <ns0:c r="A20" s="2" t="n"/>
    </ns0:row>
    <ns0:row r="21">
      <ns0:c r="A21" s="2" t="n"/>
    </ns0:row>
    <ns0:row r="22">
      <ns0:c r="A22" s="2" t="n"/>
    </ns0:row>
    <ns0:row r="23">
      <ns0:c r="A23" s="2" t="n"/>
    </ns0:row>
    <ns0:row r="24">
      <ns0:c r="A24" s="2" t="n"/>
    </ns0:row>
    <ns0:row r="25">
      <ns0:c r="A25" s="1" t="n"/>
    </ns0:row>
    <ns0:row r="26">
      <ns0:c r="A26" s="2" t="n"/>
    </ns0:row>
    <ns0:row r="27">
      <ns0:c r="A27" s="2" t="n"/>
    </ns0:row>
    <ns0:row r="28">
      <ns0:c r="A28" s="2" t="n"/>
    </ns0:row>
  </ns0:sheetData>
  <ns0:printOptions horizontalCentered="1"/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H36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8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</ns0:cols>
  <ns0:sheetData>
    <ns0:row r="1">
      <ns0:c r="A1" s="15" t="inlineStr">
        <ns0:is>
          <ns0:t>收入拆解（人民币百万）</ns0:t>
        </ns0:is>
      </ns0:c>
      <ns0:c r="B1" s="15" t="inlineStr">
        <ns0:is>
          <ns0:t>FY2021</ns0:t>
        </ns0:is>
      </ns0:c>
      <ns0:c r="C1" s="15" t="inlineStr">
        <ns0:is>
          <ns0:t>FY2022</ns0:t>
        </ns0:is>
      </ns0:c>
      <ns0:c r="D1" s="15" t="inlineStr">
        <ns0:is>
          <ns0:t>FY2023</ns0:t>
        </ns0:is>
      </ns0:c>
      <ns0:c r="E1" s="15" t="inlineStr">
        <ns0:is>
          <ns0:t>FY2024</ns0:t>
        </ns0:is>
      </ns0:c>
      <ns0:c r="F1" s="15" t="inlineStr">
        <ns0:is>
          <ns0:t>FY2025</ns0:t>
        </ns0:is>
      </ns0:c>
      <ns0:c r="G1" s="15" t="inlineStr">
        <ns0:is>
          <ns0:t>H12026</ns0:t>
        </ns0:is>
      </ns0:c>
      <ns0:c r="H1" s="15" t="inlineStr">
        <ns0:is>
          <ns0:t>口径</ns0:t>
        </ns0:is>
      </ns0:c>
    </ns0:row>
    <ns0:row r="2">
      <ns0:c r="A2" s="16" t="inlineStr">
        <ns0:is>
          <ns0:t>产品</ns0:t>
        </ns0:is>
      </ns0:c>
      <ns0:c r="B2" s="17">
        <ns0:f>'7_原始输入'!B7/1000</ns0:f>
        <ns0:v>101.597</ns0:v>
      </ns0:c>
      <ns0:c r="C2" s="17">
        <ns0:f>'7_原始输入'!B8/1000</ns0:f>
        <ns0:v>337.717</ns0:v>
      </ns0:c>
      <ns0:c r="D2" s="17">
        <ns0:f>'7_原始输入'!B9/1000</ns0:f>
        <ns0:v>54.19</ns0:v>
      </ns0:c>
      <ns0:c r="E2" s="17">
        <ns0:f>'7_原始输入'!B10/1000</ns0:f>
        <ns0:v>87.71</ns0:v>
      </ns0:c>
      <ns0:c r="F2" s="17">
        <ns0:f>'7_原始输入'!B11/1000</ns0:f>
        <ns0:v>359.843</ns0:v>
      </ns0:c>
      <ns0:c r="G2" s="17">
        <ns0:f>'7_原始输入'!B104/1000</ns0:f>
        <ns0:v>112.783</ns0:v>
      </ns0:c>
    </ns0:row>
    <ns0:row r="3">
      <ns0:c r="A3" s="18" t="inlineStr">
        <ns0:is>
          <ns0:t>服务</ns0:t>
        </ns0:is>
      </ns0:c>
      <ns0:c r="B3" s="19">
        <ns0:f>'7_原始输入'!B12/1000</ns0:f>
        <ns0:v>36.575</ns0:v>
      </ns0:c>
      <ns0:c r="C3" s="19">
        <ns0:f>'7_原始输入'!B13/1000</ns0:f>
        <ns0:v>189.826</ns0:v>
      </ns0:c>
      <ns0:c r="D3" s="19">
        <ns0:f>'7_原始输入'!B14/1000</ns0:f>
        <ns0:v>347.654</ns0:v>
      </ns0:c>
      <ns0:c r="E3" s="19">
        <ns0:f>'7_原始输入'!B15/1000</ns0:f>
        <ns0:v>273.424</ns0:v>
      </ns0:c>
      <ns0:c r="F3" s="19">
        <ns0:f>'7_原始输入'!B16/1000</ns0:f>
        <ns0:v>324.744</ns0:v>
      </ns0:c>
      <ns0:c r="G3" s="19">
        <ns0:f>'7_原始输入'!B108/1000</ns0:f>
        <ns0:v>233.074</ns0:v>
      </ns0:c>
      <ns0:c r="H3" s="4" t="n"/>
    </ns0:row>
    <ns0:row r="4">
      <ns0:c r="A4" s="16" t="inlineStr">
        <ns0:is>
          <ns0:t>收入</ns0:t>
        </ns0:is>
      </ns0:c>
      <ns0:c r="B4" s="20">
        <ns0:f>'7_原始输入'!B2/1000</ns0:f>
        <ns0:v>138.172</ns0:v>
      </ns0:c>
      <ns0:c r="C4" s="20">
        <ns0:f>'7_原始输入'!B3/1000</ns0:f>
        <ns0:v>527.543</ns0:v>
      </ns0:c>
      <ns0:c r="D4" s="20">
        <ns0:f>'7_原始输入'!B4/1000</ns0:f>
        <ns0:v>401.844</ns0:v>
      </ns0:c>
      <ns0:c r="E4" s="20">
        <ns0:f>'7_原始输入'!B5/1000</ns0:f>
        <ns0:v>361.134</ns0:v>
      </ns0:c>
      <ns0:c r="F4" s="20">
        <ns0:f>'7_原始输入'!B6/1000</ns0:f>
        <ns0:v>684.587</ns0:v>
      </ns0:c>
      <ns0:c r="G4" s="20">
        <ns0:f>'7_原始输入'!B100/1000</ns0:f>
        <ns0:v>345.857</ns0:v>
      </ns0:c>
      <ns0:c r="H4" s="5" t="n"/>
    </ns0:row>
    <ns0:row r="5">
      <ns0:c r="B5" s="5" t="n"/>
      <ns0:c r="C5" s="5" t="n"/>
      <ns0:c r="D5" s="5" t="n"/>
      <ns0:c r="E5" s="5" t="n"/>
      <ns0:c r="F5" s="5" t="n"/>
      <ns0:c r="G5" s="5" t="n"/>
      <ns0:c r="H5" s="5" t="n"/>
    </ns0:row>
    <ns0:row r="6">
      <ns0:c r="A6" s="16" t="inlineStr">
        <ns0:is>
          <ns0:t>产品占比</ns0:t>
        </ns0:is>
      </ns0:c>
      <ns0:c r="B6" s="21">
        <ns0:f>B2/B4</ns0:f>
        <ns0:v>0.7352936919202153</ns0:v>
      </ns0:c>
      <ns0:c r="C6" s="21">
        <ns0:f>C2/C4</ns0:f>
        <ns0:v>0.6401696165051948</ns0:v>
      </ns0:c>
      <ns0:c r="D6" s="21">
        <ns0:f>D2/D4</ns0:f>
        <ns0:v>0.13485332616637302</ns0:v>
      </ns0:c>
      <ns0:c r="E6" s="21">
        <ns0:f>E2/E4</ns0:f>
        <ns0:v>0.2428738363045296</ns0:v>
      </ns0:c>
      <ns0:c r="F6" s="21">
        <ns0:f>F2/F4</ns0:f>
        <ns0:v>0.525635163974776</ns0:v>
      </ns0:c>
      <ns0:c r="G6" s="21">
        <ns0:f>G2/G4</ns0:f>
        <ns0:v>0.3260972020228013</ns0:v>
      </ns0:c>
      <ns0:c r="H6" s="5" t="n"/>
    </ns0:row>
    <ns0:row r="7">
      <ns0:c r="A7" s="16" t="inlineStr">
        <ns0:is>
          <ns0:t>服务占比</ns0:t>
        </ns0:is>
      </ns0:c>
      <ns0:c r="B7" s="21">
        <ns0:f>B3/B4</ns0:f>
        <ns0:v>0.2647063080797846</ns0:v>
      </ns0:c>
      <ns0:c r="C7" s="21">
        <ns0:f>C3/C4</ns0:f>
        <ns0:v>0.3598303834948052</ns0:v>
      </ns0:c>
      <ns0:c r="D7" s="21">
        <ns0:f>D3/D4</ns0:f>
        <ns0:v>0.865146673833627</ns0:v>
      </ns0:c>
      <ns0:c r="E7" s="21">
        <ns0:f>E3/E4</ns0:f>
        <ns0:v>0.7571261636954703</ns0:v>
      </ns0:c>
      <ns0:c r="F7" s="21">
        <ns0:f>F3/F4</ns0:f>
        <ns0:v>0.474364836025224</ns0:v>
      </ns0:c>
      <ns0:c r="G7" s="21">
        <ns0:f>G3/G4</ns0:f>
        <ns0:v>0.6739027979771987</ns0:v>
      </ns0:c>
      <ns0:c r="H7" s="5" t="n"/>
    </ns0:row>
    <ns0:row r="8">
      <ns0:c r="B8" s="5" t="n"/>
      <ns0:c r="C8" s="5" t="n"/>
      <ns0:c r="D8" s="5" t="n"/>
      <ns0:c r="E8" s="5" t="n"/>
      <ns0:c r="F8" s="5" t="n"/>
      <ns0:c r="G8" s="5" t="n"/>
      <ns0:c r="H8" s="5" t="n"/>
    </ns0:row>
    <ns0:row r="9">
      <ns0:c r="A9" s="16" t="inlineStr">
        <ns0:is>
          <ns0:t>收入勾稽差</ns0:t>
        </ns0:is>
      </ns0:c>
      <ns0:c r="B9" s="21">
        <ns0:f>B2+B3-B4</ns0:f>
        <ns0:v>0.0</ns0:v>
      </ns0:c>
      <ns0:c r="C9" s="21">
        <ns0:f>C2+C3-C4</ns0:f>
        <ns0:v>0.0</ns0:v>
      </ns0:c>
      <ns0:c r="D9" s="21">
        <ns0:f>D2+D3-D4</ns0:f>
        <ns0:v>0.0</ns0:v>
      </ns0:c>
      <ns0:c r="E9" s="21">
        <ns0:f>E2+E3-E4</ns0:f>
        <ns0:v>-5.684341886080802e-14</ns0:v>
      </ns0:c>
      <ns0:c r="F9" s="21">
        <ns0:f>F2+F3-F4</ns0:f>
        <ns0:v>0.0</ns0:v>
      </ns0:c>
      <ns0:c r="G9" s="21">
        <ns0:f>G2+G3-G4</ns0:f>
        <ns0:v>0.0</ns0:v>
      </ns0:c>
      <ns0:c r="H9" s="5" t="n"/>
    </ns0:row>
    <ns0:row r="10">
      <ns0:c r="A10" s="3" t="n"/>
      <ns0:c r="B10" s="6" t="n"/>
      <ns0:c r="C10" s="6" t="n"/>
      <ns0:c r="D10" s="6" t="n"/>
      <ns0:c r="E10" s="6" t="n"/>
      <ns0:c r="F10" s="6" t="n"/>
      <ns0:c r="G10" s="6" t="n"/>
    </ns0:row>
    <ns0:row r="11">
      <ns0:c r="A11" s="16" t="inlineStr">
        <ns0:is>
          <ns0:t>业务线而非独立经营分部；Robotaxi含车辆/技术支持，不是纯车费</ns0:t>
        </ns0:is>
      </ns0:c>
    </ns0:row>
    <ns0:row r="12">
      <ns0:c r="A12" s="16" t="inlineStr">
        <ns0:is>
          <ns0:t>车型业务（人民币百万）</ns0:t>
        </ns0:is>
      </ns0:c>
      <ns0:c r="B12" s="16" t="inlineStr">
        <ns0:is>
          <ns0:t>FY2023</ns0:t>
        </ns0:is>
      </ns0:c>
      <ns0:c r="C12" s="16" t="inlineStr">
        <ns0:is>
          <ns0:t>FY2024</ns0:t>
        </ns0:is>
      </ns0:c>
      <ns0:c r="D12" s="16" t="inlineStr">
        <ns0:is>
          <ns0:t>FY2025</ns0:t>
        </ns0:is>
      </ns0:c>
      <ns0:c r="E12" s="16" t="inlineStr">
        <ns0:is>
          <ns0:t>FY2025占比</ns0:t>
        </ns0:is>
      </ns0:c>
    </ns0:row>
    <ns0:row r="13">
      <ns0:c r="A13" s="16" t="inlineStr">
        <ns0:is>
          <ns0:t>Robotaxi及相关服务</ns0:t>
        </ns0:is>
      </ns0:c>
      <ns0:c r="B13" s="22">
        <ns0:f>'7_原始输入'!B317/1000</ns0:f>
        <ns0:v>29.379</ns0:v>
      </ns0:c>
      <ns0:c r="C13" s="22">
        <ns0:f>'7_原始输入'!B318/1000</ns0:f>
        <ns0:v>47.832</ns0:v>
      </ns0:c>
      <ns0:c r="D13" s="22">
        <ns0:f>'7_原始输入'!B319/1000</ns0:f>
        <ns0:v>147.993</ns0:v>
      </ns0:c>
      <ns0:c r="E13" s="23">
        <ns0:f>D13/F4</ns0:f>
        <ns0:v>0.21617851346870448</ns0:v>
      </ns0:c>
      <ns0:c r="F13" s="7" t="n"/>
      <ns0:c r="G13" s="7" t="n"/>
    </ns0:row>
    <ns0:row r="14">
      <ns0:c r="A14" s="16" t="inlineStr">
        <ns0:is>
          <ns0:t>Robobus</ns0:t>
        </ns0:is>
      </ns0:c>
      <ns0:c r="B14" s="22">
        <ns0:f>'7_原始输入'!B320/1000</ns0:f>
        <ns0:v>94.914</ns0:v>
      </ns0:c>
      <ns0:c r="C14" s="22">
        <ns0:f>'7_原始输入'!B321/1000</ns0:f>
        <ns0:v>79.688</ns0:v>
      </ns0:c>
      <ns0:c r="D14" s="22">
        <ns0:f>'7_原始输入'!B322/1000</ns0:f>
        <ns0:v>231.473</ns0:v>
      </ns0:c>
      <ns0:c r="E14" s="23">
        <ns0:f>D14/F4</ns0:f>
        <ns0:v>0.33812064792349256</ns0:v>
      </ns0:c>
      <ns0:c r="F14" s="7" t="n"/>
      <ns0:c r="G14" s="7" t="n"/>
    </ns0:row>
    <ns0:row r="15">
      <ns0:c r="A15" s="16" t="inlineStr">
        <ns0:is>
          <ns0:t>Robosweeper</ns0:t>
        </ns0:is>
      </ns0:c>
      <ns0:c r="B15" s="22">
        <ns0:f>'7_原始输入'!B323/1000</ns0:f>
        <ns0:v>7.642</ns0:v>
      </ns0:c>
      <ns0:c r="C15" s="22">
        <ns0:f>'7_原始输入'!B324/1000</ns0:f>
        <ns0:v>55.32</ns0:v>
      </ns0:c>
      <ns0:c r="D15" s="22">
        <ns0:f>'7_原始输入'!B325/1000</ns0:f>
        <ns0:v>96.083</ns0:v>
      </ns0:c>
      <ns0:c r="E15" s="23">
        <ns0:f>D15/F4</ns0:f>
        <ns0:v>0.1403517741353546</ns0:v>
      </ns0:c>
      <ns0:c r="F15" s="7" t="n"/>
      <ns0:c r="G15" s="7" t="n"/>
    </ns0:row>
    <ns0:row r="16">
      <ns0:c r="A16" s="16" t="inlineStr">
        <ns0:is>
          <ns0:t>Robovan</ns0:t>
        </ns0:is>
      </ns0:c>
      <ns0:c r="B16" s="22">
        <ns0:f>'7_原始输入'!B326/1000</ns0:f>
        <ns0:v>7.54</ns0:v>
      </ns0:c>
      <ns0:c r="C16" s="22">
        <ns0:f>'7_原始输入'!B327/1000</ns0:f>
        <ns0:v>13.393</ns0:v>
      </ns0:c>
      <ns0:c r="D16" s="22">
        <ns0:f>'7_原始输入'!B328/1000</ns0:f>
        <ns0:v>10.493</ns0:v>
      </ns0:c>
      <ns0:c r="E16" s="23">
        <ns0:f>D16/F4</ns0:f>
        <ns0:v>0.015327489420628788</ns0:v>
      </ns0:c>
      <ns0:c r="F16" s="7" t="n"/>
      <ns0:c r="G16" s="7" t="n"/>
    </ns0:row>
    <ns0:row r="17">
      <ns0:c r="A17" s="16" t="inlineStr">
        <ns0:is>
          <ns0:t>其他技术服务</ns0:t>
        </ns0:is>
      </ns0:c>
      <ns0:c r="B17" s="22">
        <ns0:f>'7_原始输入'!B329/1000</ns0:f>
        <ns0:v>262.369</ns0:v>
      </ns0:c>
      <ns0:c r="C17" s="22">
        <ns0:f>'7_原始输入'!B330/1000</ns0:f>
        <ns0:v>164.901</ns0:v>
      </ns0:c>
      <ns0:c r="D17" s="22">
        <ns0:f>'7_原始输入'!B331/1000</ns0:f>
        <ns0:v>198.545</ns0:v>
      </ns0:c>
      <ns0:c r="E17" s="23">
        <ns0:f>D17/F4</ns0:f>
        <ns0:v>0.2900215750518195</ns0:v>
      </ns0:c>
      <ns0:c r="F17" s="7" t="n"/>
      <ns0:c r="G17" s="7" t="n"/>
    </ns0:row>
    <ns0:row r="18">
      <ns0:c r="A18" s="16" t="inlineStr">
        <ns0:is>
          <ns0:t>业务线合计</ns0:t>
        </ns0:is>
      </ns0:c>
      <ns0:c r="B18" s="23">
        <ns0:f>SUM(B13:B17)</ns0:f>
        <ns0:v>401.84400000000005</ns0:v>
      </ns0:c>
      <ns0:c r="C18" s="23">
        <ns0:f>SUM(C13:C17)</ns0:f>
        <ns0:v>361.134</ns0:v>
      </ns0:c>
      <ns0:c r="D18" s="23">
        <ns0:f>SUM(D13:D17)</ns0:f>
        <ns0:v>684.587</ns0:v>
      </ns0:c>
      <ns0:c r="E18" s="7" t="n"/>
      <ns0:c r="F18" s="7" t="n"/>
      <ns0:c r="G18" s="7" t="n"/>
    </ns0:row>
    <ns0:row r="19"/>
    <ns0:row r="20">
      <ns0:c r="A20" s="3" t="n"/>
    </ns0:row>
    <ns0:row r="21">
      <ns0:c r="A21" s="16" t="inlineStr">
        <ns0:is>
          <ns0:t>最新分类（不可硬接车型）</ns0:t>
        </ns0:is>
      </ns0:c>
      <ns0:c r="B21" s="16" t="inlineStr">
        <ns0:is>
          <ns0:t>H12025</ns0:t>
        </ns0:is>
      </ns0:c>
      <ns0:c r="C21" s="24" t="inlineStr">
        <ns0:is>
          <ns0:t>H12026</ns0:t>
        </ns0:is>
      </ns0:c>
      <ns0:c r="D21" s="24" t="inlineStr">
        <ns0:is>
          <ns0:t>同比</ns0:t>
        </ns0:is>
      </ns0:c>
      <ns0:c r="E21" s="24" t="inlineStr">
        <ns0:is>
          <ns0:t>H12026占比</ns0:t>
        </ns0:is>
      </ns0:c>
      <ns0:c r="F21" s="7" t="n"/>
    </ns0:row>
    <ns0:row r="22">
      <ns0:c r="A22" s="16" t="inlineStr">
        <ns0:is>
          <ns0:t>L4</ns0:t>
        </ns0:is>
      </ns0:c>
      <ns0:c r="B22" s="17">
        <ns0:f>'7_原始输入'!B335/1000</ns0:f>
        <ns0:v>123.932</ns0:v>
      </ns0:c>
      <ns0:c r="C22" s="22">
        <ns0:f>'7_原始输入'!B336/1000</ns0:f>
        <ns0:v>179.475</ns0:v>
      </ns0:c>
      <ns0:c r="D22" s="23">
        <ns0:f>C22/B22-1</ns0:f>
        <ns0:v>0.44817319175031467</ns0:v>
      </ns0:c>
      <ns0:c r="E22" s="23">
        <ns0:f>C22/G4</ns0:f>
        <ns0:v>0.5189283432169942</ns0:v>
      </ns0:c>
      <ns0:c r="F22" s="7" t="n"/>
    </ns0:row>
    <ns0:row r="23">
      <ns0:c r="A23" s="16" t="inlineStr">
        <ns0:is>
          <ns0:t>其他业务</ns0:t>
        </ns0:is>
      </ns0:c>
      <ns0:c r="B23" s="17">
        <ns0:f>'7_原始输入'!B337/1000</ns0:f>
        <ns0:v>75.683</ns0:v>
      </ns0:c>
      <ns0:c r="C23" s="22">
        <ns0:f>'7_原始输入'!B338/1000</ns0:f>
        <ns0:v>166.382</ns0:v>
      </ns0:c>
      <ns0:c r="D23" s="23">
        <ns0:f>C23/B23-1</ns0:f>
        <ns0:v>1.1984065113697921</ns0:v>
      </ns0:c>
      <ns0:c r="E23" s="23">
        <ns0:f>C23/G4</ns0:f>
        <ns0:v>0.4810716567830057</ns0:v>
      </ns0:c>
      <ns0:c r="F23" s="7" t="n"/>
    </ns0:row>
    <ns0:row r="24">
      <ns0:c r="A24" s="16" t="inlineStr">
        <ns0:is>
          <ns0:t>海外</ns0:t>
        </ns0:is>
      </ns0:c>
      <ns0:c r="B24" s="17">
        <ns0:f>'7_原始输入'!B339/1000</ns0:f>
        <ns0:v>46.929</ns0:v>
      </ns0:c>
      <ns0:c r="C24" s="22">
        <ns0:f>'7_原始输入'!B340/1000</ns0:f>
        <ns0:v>119.299</ns0:v>
      </ns0:c>
      <ns0:c r="D24" s="23">
        <ns0:f>C24/B24-1</ns0:f>
        <ns0:v>1.5421168147627267</ns0:v>
      </ns0:c>
      <ns0:c r="E24" s="23">
        <ns0:f>C24/G4</ns0:f>
        <ns0:v>0.34493735850365903</ns0:v>
      </ns0:c>
      <ns0:c r="F24" s="7" t="n"/>
    </ns0:row>
    <ns0:row r="25">
      <ns0:c r="C25" s="7" t="n"/>
      <ns0:c r="D25" s="7" t="n"/>
      <ns0:c r="E25" s="7" t="n"/>
      <ns0:c r="F25" s="7" t="n"/>
    </ns0:row>
    <ns0:row r="26">
      <ns0:c r="A26" s="16" t="inlineStr">
        <ns0:is>
          <ns0:t>分业务毛利率/纯车费/单车完整成本：未披露，不能用集团毛利率分摊</ns0:t>
        </ns0:is>
      </ns0:c>
      <ns0:c r="C26" s="7" t="n"/>
      <ns0:c r="D26" s="7" t="n"/>
      <ns0:c r="E26" s="7" t="n"/>
      <ns0:c r="F26" s="7" t="n"/>
    </ns0:row>
    <ns0:row r="27"/>
    <ns0:row r="28">
      <ns0:c r="A28" s="3" t="n"/>
    </ns0:row>
    <ns0:row r="29">
      <ns0:c r="B29" s="8" t="n"/>
      <ns0:c r="C29" s="8" t="n"/>
      <ns0:c r="D29" s="8" t="n"/>
      <ns0:c r="E29" s="8" t="n"/>
      <ns0:c r="F29" s="8" t="n"/>
      <ns0:c r="G29" s="8" t="n"/>
    </ns0:row>
    <ns0:row r="30">
      <ns0:c r="B30" s="8" t="n"/>
      <ns0:c r="C30" s="8" t="n"/>
      <ns0:c r="D30" s="8" t="n"/>
      <ns0:c r="E30" s="8" t="n"/>
      <ns0:c r="F30" s="8" t="n"/>
      <ns0:c r="G30" s="8" t="n"/>
    </ns0:row>
    <ns0:row r="31">
      <ns0:c r="B31" s="8" t="n"/>
      <ns0:c r="C31" s="8" t="n"/>
      <ns0:c r="D31" s="8" t="n"/>
      <ns0:c r="E31" s="8" t="n"/>
      <ns0:c r="F31" s="8" t="n"/>
      <ns0:c r="G31" s="8" t="n"/>
    </ns0:row>
    <ns0:row r="32">
      <ns0:c r="B32" s="8" t="n"/>
      <ns0:c r="C32" s="8" t="n"/>
      <ns0:c r="D32" s="8" t="n"/>
      <ns0:c r="E32" s="8" t="n"/>
      <ns0:c r="F32" s="8" t="n"/>
      <ns0:c r="G32" s="8" t="n"/>
    </ns0:row>
    <ns0:row r="33">
      <ns0:c r="B33" s="8" t="n"/>
      <ns0:c r="C33" s="8" t="n"/>
      <ns0:c r="D33" s="8" t="n"/>
      <ns0:c r="E33" s="8" t="n"/>
      <ns0:c r="F33" s="8" t="n"/>
      <ns0:c r="G33" s="8" t="n"/>
    </ns0:row>
    <ns0:row r="34">
      <ns0:c r="B34" s="8" t="n"/>
      <ns0:c r="C34" s="8" t="n"/>
      <ns0:c r="D34" s="8" t="n"/>
      <ns0:c r="E34" s="8" t="n"/>
      <ns0:c r="F34" s="8" t="n"/>
      <ns0:c r="G34" s="8" t="n"/>
    </ns0:row>
    <ns0:row r="35"/>
    <ns0:row r="36">
      <ns0:c r="A36" s="9" t="n"/>
    </ns0:row>
  </ns0:sheetData>
  <ns0:printOptions horizontalCentered="1"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H18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8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</ns0:cols>
  <ns0:sheetData>
    <ns0:row r="1">
      <ns0:c r="A1" s="25" t="inlineStr">
        <ns0:is>
          <ns0:t>利润表（人民币百万）</ns0:t>
        </ns0:is>
      </ns0:c>
      <ns0:c r="B1" s="25" t="inlineStr">
        <ns0:is>
          <ns0:t>FY2021</ns0:t>
        </ns0:is>
      </ns0:c>
      <ns0:c r="C1" s="25" t="inlineStr">
        <ns0:is>
          <ns0:t>FY2022</ns0:t>
        </ns0:is>
      </ns0:c>
      <ns0:c r="D1" s="25" t="inlineStr">
        <ns0:is>
          <ns0:t>FY2023</ns0:t>
        </ns0:is>
      </ns0:c>
      <ns0:c r="E1" s="25" t="inlineStr">
        <ns0:is>
          <ns0:t>FY2024</ns0:t>
        </ns0:is>
      </ns0:c>
      <ns0:c r="F1" s="25" t="inlineStr">
        <ns0:is>
          <ns0:t>FY2025</ns0:t>
        </ns0:is>
      </ns0:c>
      <ns0:c r="G1" s="25" t="inlineStr">
        <ns0:is>
          <ns0:t>H12026</ns0:t>
        </ns0:is>
      </ns0:c>
      <ns0:c r="H1" s="25" t="inlineStr">
        <ns0:is>
          <ns0:t>TTM至2026-06</ns0:t>
        </ns0:is>
      </ns0:c>
    </ns0:row>
    <ns0:row r="2">
      <ns0:c r="A2" s="16" t="inlineStr">
        <ns0:is>
          <ns0:t>收入</ns0:t>
        </ns0:is>
      </ns0:c>
      <ns0:c r="B2" s="20">
        <ns0:f>'7_原始输入'!B2/1000</ns0:f>
        <ns0:v>138.172</ns0:v>
      </ns0:c>
      <ns0:c r="C2" s="20">
        <ns0:f>'7_原始输入'!B3/1000</ns0:f>
        <ns0:v>527.543</ns0:v>
      </ns0:c>
      <ns0:c r="D2" s="20">
        <ns0:f>'7_原始输入'!B4/1000</ns0:f>
        <ns0:v>401.844</ns0:v>
      </ns0:c>
      <ns0:c r="E2" s="20">
        <ns0:f>'7_原始输入'!B5/1000</ns0:f>
        <ns0:v>361.134</ns0:v>
      </ns0:c>
      <ns0:c r="F2" s="20">
        <ns0:f>'7_原始输入'!B6/1000</ns0:f>
        <ns0:v>684.587</ns0:v>
      </ns0:c>
      <ns0:c r="G2" s="20">
        <ns0:f>'7_原始输入'!B100/1000</ns0:f>
        <ns0:v>345.857</ns0:v>
      </ns0:c>
      <ns0:c r="H2" s="17">
        <ns0:f>('7_原始输入'!B6-'7_原始输入'!B99+'7_原始输入'!B100)/1000</ns0:f>
        <ns0:v>830.829</ns0:v>
      </ns0:c>
    </ns0:row>
    <ns0:row r="3">
      <ns0:c r="A3" s="16" t="inlineStr">
        <ns0:is>
          <ns0:t>毛利</ns0:t>
        </ns0:is>
      </ns0:c>
      <ns0:c r="B3" s="20">
        <ns0:f>'7_原始输入'!B17/1000</ns0:f>
        <ns0:v>51.66</ns0:v>
      </ns0:c>
      <ns0:c r="C3" s="20">
        <ns0:f>'7_原始输入'!B18/1000</ns0:f>
        <ns0:v>232.545</ns0:v>
      </ns0:c>
      <ns0:c r="D3" s="20">
        <ns0:f>'7_原始输入'!B19/1000</ns0:f>
        <ns0:v>183.476</ns0:v>
      </ns0:c>
      <ns0:c r="E3" s="20">
        <ns0:f>'7_原始输入'!B20/1000</ns0:f>
        <ns0:v>110.715</ns0:v>
      </ns0:c>
      <ns0:c r="F3" s="20">
        <ns0:f>'7_原始输入'!B21/1000</ns0:f>
        <ns0:v>206.822</ns0:v>
      </ns0:c>
      <ns0:c r="G3" s="20">
        <ns0:f>'7_原始输入'!B112/1000</ns0:f>
        <ns0:v>126.473</ns0:v>
      </ns0:c>
      <ns0:c r="H3" s="17">
        <ns0:f>('7_原始输入'!B21-'7_原始输入'!B111+'7_原始输入'!B112)/1000</ns0:f>
        <ns0:v>272.236</ns0:v>
      </ns0:c>
    </ns0:row>
    <ns0:row r="4">
      <ns0:c r="A4" s="16" t="inlineStr">
        <ns0:is>
          <ns0:t>销售行政</ns0:t>
        </ns0:is>
      </ns0:c>
      <ns0:c r="B4" s="20">
        <ns0:f>('7_原始输入'!B32+'7_原始输入'!B27)/1000</ns0:f>
        <ns0:v>-119.344</ns0:v>
      </ns0:c>
      <ns0:c r="C4" s="20">
        <ns0:f>('7_原始输入'!B33+'7_原始输入'!B28)/1000</ns0:f>
        <ns0:v>-260.81</ns0:v>
      </ns0:c>
      <ns0:c r="D4" s="20">
        <ns0:f>('7_原始输入'!B34+'7_原始输入'!B29)/1000</ns0:f>
        <ns0:v>-666.816</ns0:v>
      </ns0:c>
      <ns0:c r="E4" s="20">
        <ns0:f>('7_原始输入'!B35+'7_原始输入'!B30)/1000</ns0:f>
        <ns0:v>-1192.368</ns0:v>
      </ns0:c>
      <ns0:c r="F4" s="20">
        <ns0:f>('7_原始输入'!B36+'7_原始输入'!B31)/1000</ns0:f>
        <ns0:v>-669.688</ns0:v>
      </ns0:c>
      <ns0:c r="G4" s="20">
        <ns0:f>('7_原始输入'!B124+'7_原始输入'!B120)/1000</ns0:f>
        <ns0:v>-203.957</ns0:v>
      </ns0:c>
    </ns0:row>
    <ns0:row r="5">
      <ns0:c r="A5" s="16" t="inlineStr">
        <ns0:is>
          <ns0:t>融资成本</ns0:t>
        </ns0:is>
      </ns0:c>
      <ns0:c r="B5" s="20">
        <ns0:f>'7_原始输入'!B62/1000</ns0:f>
        <ns0:v>-6.917</ns0:v>
      </ns0:c>
      <ns0:c r="C5" s="20">
        <ns0:f>'7_原始输入'!B63/1000</ns0:f>
        <ns0:v>-4.202</ns0:v>
      </ns0:c>
      <ns0:c r="D5" s="20">
        <ns0:f>'7_原始输入'!B64/1000</ns0:f>
        <ns0:v>-3.49</ns0:v>
      </ns0:c>
      <ns0:c r="E5" s="20">
        <ns0:f>'7_原始输入'!B65/1000</ns0:f>
        <ns0:v>-3.451</ns0:v>
      </ns0:c>
      <ns0:c r="F5" s="20">
        <ns0:f>'7_原始输入'!B66/1000</ns0:f>
        <ns0:v>-9.128</ns0:v>
      </ns0:c>
      <ns0:c r="G5" s="20">
        <ns0:f>'7_原始输入'!B136/1000</ns0:f>
        <ns0:v>-5.089</ns0:v>
      </ns0:c>
      <ns0:c r="H5" s="17">
        <ns0:f>('7_原始输入'!B66-'7_原始输入'!B135+'7_原始输入'!B136)/1000</ns0:f>
        <ns0:v>-10.925</ns0:v>
      </ns0:c>
    </ns0:row>
    <ns0:row r="6">
      <ns0:c r="A6" s="16" t="inlineStr">
        <ns0:is>
          <ns0:t>研发</ns0:t>
        </ns0:is>
      </ns0:c>
      <ns0:c r="B6" s="20">
        <ns0:f>'7_原始输入'!B22/1000</ns0:f>
        <ns0:v>-443.178</ns0:v>
      </ns0:c>
      <ns0:c r="C6" s="20">
        <ns0:f>'7_原始输入'!B23/1000</ns0:f>
        <ns0:v>-758.565</ns0:v>
      </ns0:c>
      <ns0:c r="D6" s="20">
        <ns0:f>'7_原始输入'!B24/1000</ns0:f>
        <ns0:v>-1058.395</ns0:v>
      </ns0:c>
      <ns0:c r="E6" s="20">
        <ns0:f>'7_原始输入'!B25/1000</ns0:f>
        <ns0:v>-1091.357</ns0:v>
      </ns0:c>
      <ns0:c r="F6" s="20">
        <ns0:f>'7_原始输入'!B26/1000</ns0:f>
        <ns0:v>-1372.191</ns0:v>
      </ns0:c>
      <ns0:c r="G6" s="20">
        <ns0:f>'7_原始输入'!B116/1000</ns0:f>
        <ns0:v>-797.654</ns0:v>
      </ns0:c>
      <ns0:c r="H6" s="17">
        <ns0:f>('7_原始输入'!B26-'7_原始输入'!B115+'7_原始输入'!B116)/1000</ns0:f>
        <ns0:v>-1525.21</ns0:v>
      </ns0:c>
    </ns0:row>
    <ns0:row r="7">
      <ns0:c r="A7" s="16" t="inlineStr">
        <ns0:is>
          <ns0:t>税前亏损</ns0:t>
        </ns0:is>
      </ns0:c>
      <ns0:c r="B7" s="20">
        <ns0:f>'7_原始输入'!B42/1000</ns0:f>
        <ns0:v>-1007.251</ns0:v>
      </ns0:c>
      <ns0:c r="C7" s="20">
        <ns0:f>'7_原始输入'!B43/1000</ns0:f>
        <ns0:v>-1298.496</ns0:v>
      </ns0:c>
      <ns0:c r="D7" s="20">
        <ns0:f>'7_原始输入'!B44/1000</ns0:f>
        <ns0:v>-1946.235</ns0:v>
      </ns0:c>
      <ns0:c r="E7" s="20">
        <ns0:f>'7_原始输入'!B45/1000</ns0:f>
        <ns0:v>-2510.94</ns0:v>
      </ns0:c>
      <ns0:c r="F7" s="20">
        <ns0:f>'7_原始输入'!B46/1000</ns0:f>
        <ns0:v>-1650.8</ns0:v>
      </ns0:c>
      <ns0:c r="G7" s="26" t="inlineStr">
        <ns0:is>
          <ns0:t>未录入；不估填</ns0:t>
        </ns0:is>
      </ns0:c>
    </ns0:row>
    <ns0:row r="8">
      <ns0:c r="A8" s="16" t="inlineStr">
        <ns0:is>
          <ns0:t>归母净亏损</ns0:t>
        </ns0:is>
      </ns0:c>
      <ns0:c r="B8" s="20">
        <ns0:f>'7_原始输入'!B47/1000</ns0:f>
        <ns0:v>-1007.251</ns0:v>
      </ns0:c>
      <ns0:c r="C8" s="20">
        <ns0:f>'7_原始输入'!B48/1000</ns0:f>
        <ns0:v>-1298.496</ns0:v>
      </ns0:c>
      <ns0:c r="D8" s="20">
        <ns0:f>'7_原始输入'!B49/1000</ns0:f>
        <ns0:v>-1949.101</ns0:v>
      </ns0:c>
      <ns0:c r="E8" s="20">
        <ns0:f>'7_原始输入'!B50/1000</ns0:f>
        <ns0:v>-2516.808</ns0:v>
      </ns0:c>
      <ns0:c r="F8" s="20">
        <ns0:f>'7_原始输入'!B51/1000</ns0:f>
        <ns0:v>-1654.9</ns0:v>
      </ns0:c>
      <ns0:c r="G8" s="20">
        <ns0:f>'7_原始输入'!B132/1000</ns0:f>
        <ns0:v>-789.75</ns0:v>
      </ns0:c>
      <ns0:c r="H8" s="17">
        <ns0:f>('7_原始输入'!B51-'7_原始输入'!B131+'7_原始输入'!B132)/1000</ns0:f>
        <ns0:v>-1653.133</ns0:v>
      </ns0:c>
    </ns0:row>
    <ns0:row r="9">
      <ns0:c r="A9" s="16" t="inlineStr">
        <ns0:is>
          <ns0:t>经营亏损</ns0:t>
        </ns0:is>
      </ns0:c>
      <ns0:c r="B9" s="20">
        <ns0:f>'7_原始输入'!B37/1000</ns0:f>
        <ns0:v>-500.496</ns0:v>
      </ns0:c>
      <ns0:c r="C9" s="20">
        <ns0:f>'7_原始输入'!B38/1000</ns0:f>
        <ns0:v>-779.23</ns0:v>
      </ns0:c>
      <ns0:c r="D9" s="20">
        <ns0:f>'7_原始输入'!B39/1000</ns0:f>
        <ns0:v>-1566.202</ns0:v>
      </ns0:c>
      <ns0:c r="E9" s="20">
        <ns0:f>'7_原始输入'!B40/1000</ns0:f>
        <ns0:v>-2185.183</ns0:v>
      </ns0:c>
      <ns0:c r="F9" s="20">
        <ns0:f>'7_原始输入'!B41/1000</ns0:f>
        <ns0:v>-1846.77</ns0:v>
      </ns0:c>
      <ns0:c r="G9" s="20">
        <ns0:f>'7_原始输入'!B128/1000</ns0:f>
        <ns0:v>-852.91</ns0:v>
      </ns0:c>
      <ns0:c r="H9" s="17">
        <ns0:f>('7_原始输入'!B41-'7_原始输入'!B127+'7_原始输入'!B128)/1000</ns0:f>
        <ns0:v>-1809.603</ns0:v>
      </ns0:c>
    </ns0:row>
    <ns0:row r="10">
      <ns0:c r="A10" s="16" t="inlineStr">
        <ns0:is>
          <ns0:t>股权支付</ns0:t>
        </ns0:is>
      </ns0:c>
      <ns0:c r="B10" s="20">
        <ns0:f>'7_原始输入'!B52/1000</ns0:f>
        <ns0:v>55.959</ns0:v>
      </ns0:c>
      <ns0:c r="C10" s="20">
        <ns0:f>'7_原始输入'!B53/1000</ns0:f>
        <ns0:v>325.429</ns0:v>
      </ns0:c>
      <ns0:c r="D10" s="20">
        <ns0:f>'7_原始输入'!B54/1000</ns0:f>
        <ns0:v>931.784</ns0:v>
      </ns0:c>
      <ns0:c r="E10" s="20">
        <ns0:f>'7_原始输入'!B55/1000</ns0:f>
        <ns0:v>1187.867</ns0:v>
      </ns0:c>
      <ns0:c r="F10" s="20">
        <ns0:f>'7_原始输入'!B56/1000</ns0:f>
        <ns0:v>449.983</ns0:v>
      </ns0:c>
      <ns0:c r="G10" s="26" t="inlineStr">
        <ns0:is>
          <ns0:t>未录入；不估填</ns0:t>
        </ns0:is>
      </ns0:c>
    </ns0:row>
    <ns0:row r="11">
      <ns0:c r="A11" s="16" t="inlineStr">
        <ns0:is>
          <ns0:t>调整后亏损</ns0:t>
        </ns0:is>
      </ns0:c>
      <ns0:c r="B11" s="22">
        <ns0:f>'7_原始输入'!B57/1000</ns0:f>
        <ns0:v>-426.757</ns0:v>
      </ns0:c>
      <ns0:c r="C11" s="22">
        <ns0:f>'7_原始输入'!B58/1000</ns0:f>
        <ns0:v>-401.683</ns0:v>
      </ns0:c>
      <ns0:c r="D11" s="22">
        <ns0:f>'7_原始输入'!B59/1000</ns0:f>
        <ns0:v>-501.68</ns0:v>
      </ns0:c>
      <ns0:c r="E11" s="22">
        <ns0:f>'7_原始输入'!B60/1000</ns0:f>
        <ns0:v>-801.853</ns0:v>
      </ns0:c>
      <ns0:c r="F11" s="22">
        <ns0:f>'7_原始输入'!B61/1000</ns0:f>
        <ns0:v>-1246.739</ns0:v>
      </ns0:c>
      <ns0:c r="G11" s="24" t="inlineStr">
        <ns0:is>
          <ns0:t>未录入；不估填</ns0:t>
        </ns0:is>
      </ns0:c>
    </ns0:row>
    <ns0:row r="12">
      <ns0:c r="A12" s="16" t="inlineStr">
        <ns0:is>
          <ns0:t>毛利率</ns0:t>
        </ns0:is>
      </ns0:c>
      <ns0:c r="B12" s="27">
        <ns0:f>B3/B2</ns0:f>
        <ns0:v>0.37388182844570533</ns0:v>
      </ns0:c>
      <ns0:c r="C12" s="27">
        <ns0:f>C3/C2</ns0:f>
        <ns0:v>0.44080766875875516</ns0:v>
      </ns0:c>
      <ns0:c r="D12" s="27">
        <ns0:f>D3/D2</ns0:f>
        <ns0:v>0.4565851424931068</ns0:v>
      </ns0:c>
      <ns0:c r="E12" s="27">
        <ns0:f>E3/E2</ns0:f>
        <ns0:v>0.3065759524165545</ns0:v>
      </ns0:c>
      <ns0:c r="F12" s="27">
        <ns0:f>F3/F2</ns0:f>
        <ns0:v>0.30211207633215353</ns0:v>
      </ns0:c>
      <ns0:c r="G12" s="27">
        <ns0:f>G3/G2</ns0:f>
        <ns0:v>0.36568003539034916</ns0:v>
      </ns0:c>
      <ns0:c r="H12" s="28">
        <ns0:f>H3/H2</ns0:f>
        <ns0:v>0.32766790759590725</ns0:v>
      </ns0:c>
    </ns0:row>
    <ns0:row r="13">
      <ns0:c r="A13" s="16" t="inlineStr">
        <ns0:is>
          <ns0:t>研发/收入</ns0:t>
        </ns0:is>
      </ns0:c>
      <ns0:c r="B13" s="27">
        <ns0:f>-B6/B2</ns0:f>
        <ns0:v>3.2074371073734187</ns0:v>
      </ns0:c>
      <ns0:c r="C13" s="27">
        <ns0:f>-C6/C2</ns0:f>
        <ns0:v>1.4379207003031034</ns0:v>
      </ns0:c>
      <ns0:c r="D13" s="27">
        <ns0:f>-D6/D2</ns0:f>
        <ns0:v>2.6338454723723634</ns0:v>
      </ns0:c>
      <ns0:c r="E13" s="27">
        <ns0:f>-E6/E2</ns0:f>
        <ns0:v>3.0220278345434104</ns0:v>
      </ns0:c>
      <ns0:c r="F13" s="27">
        <ns0:f>-F6/F2</ns0:f>
        <ns0:v>2.004407036651295</ns0:v>
      </ns0:c>
      <ns0:c r="G13" s="27">
        <ns0:f>-G6/G2</ns0:f>
        <ns0:v>2.3063115680758233</ns0:v>
      </ns0:c>
      <ns0:c r="H13" s="29" t="n"/>
    </ns0:row>
    <ns0:row r="14">
      <ns0:c r="A14" s="16" t="inlineStr">
        <ns0:is>
          <ns0:t>营业亏损率</ns0:t>
        </ns0:is>
      </ns0:c>
      <ns0:c r="B14" s="28">
        <ns0:f>B9/B2</ns0:f>
        <ns0:v>-3.622267897982225</ns0:v>
      </ns0:c>
      <ns0:c r="C14" s="28">
        <ns0:f>C9/C2</ns0:f>
        <ns0:v>-1.47709286257234</ns0:v>
      </ns0:c>
      <ns0:c r="D14" s="28">
        <ns0:f>D9/D2</ns0:f>
        <ns0:v>-3.8975373528035755</ns0:v>
      </ns0:c>
      <ns0:c r="E14" s="28">
        <ns0:f>E9/E2</ns0:f>
        <ns0:v>-6.050892466508277</ns0:v>
      </ns0:c>
      <ns0:c r="F14" s="28">
        <ns0:f>F9/F2</ns0:f>
        <ns0:v>-2.6976410595001075</ns0:v>
      </ns0:c>
      <ns0:c r="G14" s="28">
        <ns0:f>G9/G2</ns0:f>
        <ns0:v>-2.4660770202713835</ns0:v>
      </ns0:c>
      <ns0:c r="H14" s="29" t="n"/>
    </ns0:row>
    <ns0:row r="15">
      <ns0:c r="A15" s="30" t="inlineStr">
        <ns0:is>
          <ns0:t>收入同比</ns0:t>
        </ns0:is>
      </ns0:c>
      <ns0:c r="B15" s="31" t="inlineStr">
        <ns0:is>
          <ns0:t>未取得FY2020</ns0:t>
        </ns0:is>
      </ns0:c>
      <ns0:c r="C15" s="28">
        <ns0:f>C2/B2-1</ns0:f>
        <ns0:v>2.818016674869004</ns0:v>
      </ns0:c>
      <ns0:c r="D15" s="28">
        <ns0:f>D2/C2-1</ns0:f>
        <ns0:v>-0.23827251996519716</ns0:v>
      </ns0:c>
      <ns0:c r="E15" s="28">
        <ns0:f>E2/D2-1</ns0:f>
        <ns0:v>-0.10130797025711469</ns0:v>
      </ns0:c>
      <ns0:c r="F15" s="28">
        <ns0:f>F2/E2-1</ns0:f>
        <ns0:v>0.8956592289842551</ns0:v>
      </ns0:c>
      <ns0:c r="G15" s="32">
        <ns0:f>'7_原始输入'!B100/'7_原始输入'!B99-1</ns0:f>
        <ns0:v>0.7326202940660771</ns0:v>
      </ns0:c>
      <ns0:c r="H15" s="29" t="n"/>
    </ns0:row>
    <ns0:row r="16"/>
    <ns0:row r="17"/>
    <ns0:row r="18">
      <ns0:c r="A18" s="16" t="inlineStr">
        <ns0:is>
          <ns0:t>调整后亏损为公司Non-IFRS，不等于A股扣非；FY2025净亏损改善但调整后亏损扩大。</ns0:t>
        </ns0:is>
      </ns0:c>
    </ns0:row>
  </ns0:sheetData>
  <ns0:printOptions horizontalCentered="1"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I29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8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26" customWidth="1" min="9" max="9"/>
  </ns0:cols>
  <ns0:sheetData>
    <ns0:row r="1">
      <ns0:c r="A1" s="25" t="inlineStr">
        <ns0:is>
          <ns0:t>现金流（人民币百万）</ns0:t>
        </ns0:is>
      </ns0:c>
      <ns0:c r="B1" s="25" t="inlineStr">
        <ns0:is>
          <ns0:t>FY2021</ns0:t>
        </ns0:is>
      </ns0:c>
      <ns0:c r="C1" s="25" t="inlineStr">
        <ns0:is>
          <ns0:t>FY2022</ns0:t>
        </ns0:is>
      </ns0:c>
      <ns0:c r="D1" s="25" t="inlineStr">
        <ns0:is>
          <ns0:t>FY2023</ns0:t>
        </ns0:is>
      </ns0:c>
      <ns0:c r="E1" s="25" t="inlineStr">
        <ns0:is>
          <ns0:t>FY2024</ns0:t>
        </ns0:is>
      </ns0:c>
      <ns0:c r="F1" s="25" t="inlineStr">
        <ns0:is>
          <ns0:t>FY2025</ns0:t>
        </ns0:is>
      </ns0:c>
      <ns0:c r="G1" s="25" t="inlineStr">
        <ns0:is>
          <ns0:t>H12026</ns0:t>
        </ns0:is>
      </ns0:c>
      <ns0:c r="H1" s="25" t="inlineStr">
        <ns0:is>
          <ns0:t>五年合计</ns0:t>
        </ns0:is>
      </ns0:c>
      <ns0:c r="I1" s="25" t="inlineStr">
        <ns0:is>
          <ns0:t>TTM至2026-06</ns0:t>
        </ns0:is>
      </ns0:c>
    </ns0:row>
    <ns0:row r="2">
      <ns0:c r="A2" s="16" t="inlineStr">
        <ns0:is>
          <ns0:t>OCF</ns0:t>
        </ns0:is>
      </ns0:c>
      <ns0:c r="B2" s="20">
        <ns0:f>'7_原始输入'!B67/1000</ns0:f>
        <ns0:v>-506.667</ns0:v>
      </ns0:c>
      <ns0:c r="C2" s="20">
        <ns0:f>'7_原始输入'!B68/1000</ns0:f>
        <ns0:v>-670.381</ns0:v>
      </ns0:c>
      <ns0:c r="D2" s="20">
        <ns0:f>'7_原始输入'!B69/1000</ns0:f>
        <ns0:v>-474.89</ns0:v>
      </ns0:c>
      <ns0:c r="E2" s="20">
        <ns0:f>'7_原始输入'!B70/1000</ns0:f>
        <ns0:v>-593.595</ns0:v>
      </ns0:c>
      <ns0:c r="F2" s="20">
        <ns0:f>'7_原始输入'!B71/1000</ns0:f>
        <ns0:v>-1321.734</ns0:v>
      </ns0:c>
      <ns0:c r="G2" s="20">
        <ns0:f>'7_原始输入'!B140/1000</ns0:f>
        <ns0:v>-715.677</ns0:v>
      </ns0:c>
      <ns0:c r="H2" s="23">
        <ns0:f>SUM(B2:F2)</ns0:f>
        <ns0:v>-3567.267</ns0:v>
      </ns0:c>
      <ns0:c r="I2" s="17">
        <ns0:f>('7_原始输入'!B71-'7_原始输入'!B139+'7_原始输入'!B140)/1000</ns0:f>
        <ns0:v>-1374.015</ns0:v>
      </ns0:c>
    </ns0:row>
    <ns0:row r="3">
      <ns0:c r="A3" s="16" t="inlineStr">
        <ns0:is>
          <ns0:t>固定资产购置</ns0:t>
        </ns0:is>
      </ns0:c>
      <ns0:c r="B3" s="20">
        <ns0:f>'7_原始输入'!B72/1000</ns0:f>
        <ns0:v>25.156</ns0:v>
      </ns0:c>
      <ns0:c r="C3" s="20">
        <ns0:f>'7_原始输入'!B73/1000</ns0:f>
        <ns0:v>80.812</ns0:v>
      </ns0:c>
      <ns0:c r="D3" s="20">
        <ns0:f>'7_原始输入'!B74/1000</ns0:f>
        <ns0:v>36.65</ns0:v>
      </ns0:c>
      <ns0:c r="E3" s="20">
        <ns0:f>'7_原始输入'!B75/1000</ns0:f>
        <ns0:v>84.004</ns0:v>
      </ns0:c>
      <ns0:c r="F3" s="20">
        <ns0:f>'7_原始输入'!B76/1000</ns0:f>
        <ns0:v>247.598</ns0:v>
      </ns0:c>
      <ns0:c r="G3" s="20">
        <ns0:f>'7_原始输入'!B144/1000</ns0:f>
        <ns0:v>235.442</ns0:v>
      </ns0:c>
      <ns0:c r="H3" s="23">
        <ns0:f>SUM(B3:F3)</ns0:f>
        <ns0:v>474.22</ns0:v>
      </ns0:c>
      <ns0:c r="I3" s="17">
        <ns0:f>('7_原始输入'!B76-'7_原始输入'!B143+'7_原始输入'!B144)/1000</ns0:f>
        <ns0:v>348.686</ns0:v>
      </ns0:c>
    </ns0:row>
    <ns0:row r="4">
      <ns0:c r="A4" s="16" t="inlineStr">
        <ns0:is>
          <ns0:t>无形资产购置</ns0:t>
        </ns0:is>
      </ns0:c>
      <ns0:c r="B4" s="20">
        <ns0:f>'7_原始输入'!B77/1000</ns0:f>
        <ns0:v>0.481</ns0:v>
      </ns0:c>
      <ns0:c r="C4" s="20">
        <ns0:f>'7_原始输入'!B78/1000</ns0:f>
        <ns0:v>1.881</ns0:v>
      </ns0:c>
      <ns0:c r="D4" s="20">
        <ns0:f>'7_原始输入'!B79/1000</ns0:f>
        <ns0:v>0.304</ns0:v>
      </ns0:c>
      <ns0:c r="E4" s="20">
        <ns0:f>'7_原始输入'!B80/1000</ns0:f>
        <ns0:v>1.504</ns0:v>
      </ns0:c>
      <ns0:c r="F4" s="20">
        <ns0:f>'7_原始输入'!B81/1000</ns0:f>
        <ns0:v>0.848</ns0:v>
      </ns0:c>
      <ns0:c r="G4" s="20">
        <ns0:f>'7_原始输入'!B148/1000</ns0:f>
        <ns0:v>0.808</ns0:v>
      </ns0:c>
      <ns0:c r="H4" s="23">
        <ns0:f>SUM(B4:F4)</ns0:f>
        <ns0:v>5.018</ns0:v>
      </ns0:c>
      <ns0:c r="I4" s="17">
        <ns0:f>('7_原始输入'!B81-'7_原始输入'!B147+'7_原始输入'!B148)/1000</ns0:f>
        <ns0:v>1.539</ns0:v>
      </ns0:c>
    </ns0:row>
    <ns0:row r="5">
      <ns0:c r="A5" s="16" t="inlineStr">
        <ns0:is>
          <ns0:t>资本开支合计</ns0:t>
        </ns0:is>
      </ns0:c>
      <ns0:c r="B5" s="21">
        <ns0:f>B3+B4</ns0:f>
        <ns0:v>25.637</ns0:v>
      </ns0:c>
      <ns0:c r="C5" s="21">
        <ns0:f>C3+C4</ns0:f>
        <ns0:v>82.693</ns0:v>
      </ns0:c>
      <ns0:c r="D5" s="21">
        <ns0:f>D3+D4</ns0:f>
        <ns0:v>36.954</ns0:v>
      </ns0:c>
      <ns0:c r="E5" s="21">
        <ns0:f>E3+E4</ns0:f>
        <ns0:v>85.50800000000001</ns0:v>
      </ns0:c>
      <ns0:c r="F5" s="21">
        <ns0:f>F3+F4</ns0:f>
        <ns0:v>248.44600000000003</ns0:v>
      </ns0:c>
      <ns0:c r="G5" s="21">
        <ns0:f>G3+G4</ns0:f>
        <ns0:v>236.25</ns0:v>
      </ns0:c>
      <ns0:c r="H5" s="23">
        <ns0:f>SUM(B5:F5)</ns0:f>
        <ns0:v>479.23800000000006</ns0:v>
      </ns0:c>
      <ns0:c r="I5" s="33">
        <ns0:f>F5-D17+G5</ns0:f>
        <ns0:v>350.225</ns0:v>
      </ns0:c>
    </ns0:row>
    <ns0:row r="6">
      <ns0:c r="A6" s="16" t="inlineStr">
        <ns0:is>
          <ns0:t>FCF</ns0:t>
        </ns0:is>
      </ns0:c>
      <ns0:c r="B6" s="21">
        <ns0:f>B2-B5</ns0:f>
        <ns0:v>-532.304</ns0:v>
      </ns0:c>
      <ns0:c r="C6" s="21">
        <ns0:f>C2-C5</ns0:f>
        <ns0:v>-753.074</ns0:v>
      </ns0:c>
      <ns0:c r="D6" s="21">
        <ns0:f>D2-D5</ns0:f>
        <ns0:v>-511.844</ns0:v>
      </ns0:c>
      <ns0:c r="E6" s="21">
        <ns0:f>E2-E5</ns0:f>
        <ns0:v>-679.1030000000001</ns0:v>
      </ns0:c>
      <ns0:c r="F6" s="21">
        <ns0:f>F2-F5</ns0:f>
        <ns0:v>-1570.1799999999998</ns0:v>
      </ns0:c>
      <ns0:c r="G6" s="21">
        <ns0:f>G2-G5</ns0:f>
        <ns0:v>-951.927</ns0:v>
      </ns0:c>
      <ns0:c r="H6" s="23">
        <ns0:f>SUM(B6:F6)</ns0:f>
        <ns0:v>-4046.5049999999997</ns0:v>
      </ns0:c>
      <ns0:c r="I6" s="33">
        <ns0:f>F6-D18+G6</ns0:f>
        <ns0:v>-1724.2399999999998</ns0:v>
      </ns0:c>
    </ns0:row>
    <ns0:row r="7">
      <ns0:c r="A7" s="16" t="inlineStr">
        <ns0:is>
          <ns0:t>投资现金流</ns0:t>
        </ns0:is>
      </ns0:c>
      <ns0:c r="B7" s="20">
        <ns0:f>'7_原始输入'!B82/1000</ns0:f>
        <ns0:v>460.903</ns0:v>
      </ns0:c>
      <ns0:c r="C7" s="20">
        <ns0:f>'7_原始输入'!B83/1000</ns0:f>
        <ns0:v>-2202.414</ns0:v>
      </ns0:c>
      <ns0:c r="D7" s="20">
        <ns0:f>'7_原始输入'!B84/1000</ns0:f>
        <ns0:v>-546.944</ns0:v>
      </ns0:c>
      <ns0:c r="E7" s="20">
        <ns0:f>'7_原始输入'!B85/1000</ns0:f>
        <ns0:v>325.505</ns0:v>
      </ns0:c>
      <ns0:c r="F7" s="20">
        <ns0:f>'7_原始输入'!B86/1000</ns0:f>
        <ns0:v>1505.881</ns0:v>
      </ns0:c>
      <ns0:c r="G7" s="20">
        <ns0:f>'7_原始输入'!B152/1000</ns0:f>
        <ns0:v>-960.615</ns0:v>
      </ns0:c>
      <ns0:c r="H7" s="23">
        <ns0:f>SUM(B7:F7)</ns0:f>
        <ns0:v>-457.0690000000001</ns0:v>
      </ns0:c>
      <ns0:c r="I7" s="17">
        <ns0:f>('7_原始输入'!B86-'7_原始输入'!B151+'7_原始输入'!B152)/1000</ns0:f>
        <ns0:v>326.567</ns0:v>
      </ns0:c>
    </ns0:row>
    <ns0:row r="8">
      <ns0:c r="A8" s="16" t="inlineStr">
        <ns0:is>
          <ns0:t>融资现金流</ns0:t>
        </ns0:is>
      </ns0:c>
      <ns0:c r="B8" s="20">
        <ns0:f>'7_原始输入'!B87/1000</ns0:f>
        <ns0:v>2603.053</ns0:v>
      </ns0:c>
      <ns0:c r="C8" s="20">
        <ns0:f>'7_原始输入'!B88/1000</ns0:f>
        <ns0:v>2184.588</ns0:v>
      </ns0:c>
      <ns0:c r="D8" s="20">
        <ns0:f>'7_原始输入'!B89/1000</ns0:f>
        <ns0:v>446.954</ns0:v>
      </ns0:c>
      <ns0:c r="E8" s="20">
        <ns0:f>'7_原始输入'!B90/1000</ns0:f>
        <ns0:v>2823.875</ns0:v>
      </ns0:c>
      <ns0:c r="F8" s="20">
        <ns0:f>'7_原始输入'!B91/1000</ns0:f>
        <ns0:v>2296.444</ns0:v>
      </ns0:c>
      <ns0:c r="G8" s="20">
        <ns0:f>'7_原始输入'!B156/1000</ns0:f>
        <ns0:v>-544.316</ns0:v>
      </ns0:c>
      <ns0:c r="H8" s="23">
        <ns0:f>SUM(B8:F8)</ns0:f>
        <ns0:v>10354.914</ns0:v>
      </ns0:c>
      <ns0:c r="I8" s="17">
        <ns0:f>('7_原始输入'!B91-'7_原始输入'!B155+'7_原始输入'!B156)/1000</ns0:f>
        <ns0:v>1748.229</ns0:v>
      </ns0:c>
    </ns0:row>
    <ns0:row r="9">
      <ns0:c r="A9" s="16" t="inlineStr">
        <ns0:is>
          <ns0:t>现金</ns0:t>
        </ns0:is>
      </ns0:c>
      <ns0:c r="B9" s="22">
        <ns0:f>'7_原始输入'!B92/1000</ns0:f>
        <ns0:v>2725.568</ns0:v>
      </ns0:c>
      <ns0:c r="C9" s="22">
        <ns0:f>'7_原始输入'!B93/1000</ns0:f>
        <ns0:v>2233.691</ns0:v>
      </ns0:c>
      <ns0:c r="D9" s="22">
        <ns0:f>'7_原始输入'!B94/1000</ns0:f>
        <ns0:v>1661.152</ns0:v>
      </ns0:c>
      <ns0:c r="E9" s="22">
        <ns0:f>'7_原始输入'!B95/1000</ns0:f>
        <ns0:v>4268.3</ns0:v>
      </ns0:c>
      <ns0:c r="F9" s="22">
        <ns0:f>'7_原始输入'!B96/1000</ns0:f>
        <ns0:v>6666.304</ns0:v>
      </ns0:c>
      <ns0:c r="G9" s="22">
        <ns0:f>'7_原始输入'!B160/1000</ns0:f>
        <ns0:v>4275.014</ns0:v>
      </ns0:c>
      <ns0:c r="H9" s="34" t="inlineStr">
        <ns0:is>
          <ns0:t>时点值不可相加</ns0:t>
        </ns0:is>
      </ns0:c>
      <ns0:c r="I9" s="33">
        <ns0:f>G9</ns0:f>
        <ns0:v>4275.014</ns0:v>
      </ns0:c>
    </ns0:row>
    <ns0:row r="10">
      <ns0:c r="A10" s="3" t="n"/>
      <ns0:c r="B10" s="6" t="n"/>
      <ns0:c r="C10" s="6" t="n"/>
      <ns0:c r="D10" s="6" t="n"/>
      <ns0:c r="E10" s="6" t="n"/>
      <ns0:c r="F10" s="6" t="n"/>
      <ns0:c r="G10" s="6" t="n"/>
      <ns0:c r="H10" s="6" t="n"/>
    </ns0:row>
    <ns0:row r="11"/>
    <ns0:row r="12">
      <ns0:c r="A12" s="11" t="n"/>
    </ns0:row>
    <ns0:row r="13">
      <ns0:c r="A13" s="16" t="inlineStr">
        <ns0:is>
          <ns0:t>历年半年（人民币百万）</ns0:t>
        </ns0:is>
      </ns0:c>
      <ns0:c r="B13" s="16" t="inlineStr">
        <ns0:is>
          <ns0:t>H12023</ns0:t>
        </ns0:is>
      </ns0:c>
      <ns0:c r="C13" s="16" t="inlineStr">
        <ns0:is>
          <ns0:t>H12024</ns0:t>
        </ns0:is>
      </ns0:c>
      <ns0:c r="D13" s="16" t="inlineStr">
        <ns0:is>
          <ns0:t>H12025</ns0:t>
        </ns0:is>
      </ns0:c>
      <ns0:c r="E13" s="16" t="inlineStr">
        <ns0:is>
          <ns0:t>H12026</ns0:t>
        </ns0:is>
      </ns0:c>
    </ns0:row>
    <ns0:row r="14">
      <ns0:c r="A14" s="16" t="inlineStr">
        <ns0:is>
          <ns0:t>OCF</ns0:t>
        </ns0:is>
      </ns0:c>
      <ns0:c r="B14" s="17">
        <ns0:f>'7_原始输入'!B137/1000</ns0:f>
        <ns0:v>-223.742</ns0:v>
      </ns0:c>
      <ns0:c r="C14" s="17">
        <ns0:f>'7_原始输入'!B138/1000</ns0:f>
        <ns0:v>-327.18</ns0:v>
      </ns0:c>
      <ns0:c r="D14" s="17">
        <ns0:f>'7_原始输入'!B139/1000</ns0:f>
        <ns0:v>-663.396</ns0:v>
      </ns0:c>
      <ns0:c r="E14" s="17">
        <ns0:f>'7_原始输入'!B140/1000</ns0:f>
        <ns0:v>-715.677</ns0:v>
      </ns0:c>
    </ns0:row>
    <ns0:row r="15">
      <ns0:c r="A15" s="16" t="inlineStr">
        <ns0:is>
          <ns0:t>固定资产购置</ns0:t>
        </ns0:is>
      </ns0:c>
      <ns0:c r="B15" s="17">
        <ns0:f>'7_原始输入'!B141/1000</ns0:f>
        <ns0:v>15.906</ns0:v>
      </ns0:c>
      <ns0:c r="C15" s="17">
        <ns0:f>'7_原始输入'!B142/1000</ns0:f>
        <ns0:v>33.272</ns0:v>
      </ns0:c>
      <ns0:c r="D15" s="17">
        <ns0:f>'7_原始输入'!B143/1000</ns0:f>
        <ns0:v>134.354</ns0:v>
      </ns0:c>
      <ns0:c r="E15" s="17">
        <ns0:f>'7_原始输入'!B144/1000</ns0:f>
        <ns0:v>235.442</ns0:v>
      </ns0:c>
    </ns0:row>
    <ns0:row r="16">
      <ns0:c r="A16" s="16" t="inlineStr">
        <ns0:is>
          <ns0:t>无形资产购置</ns0:t>
        </ns0:is>
      </ns0:c>
      <ns0:c r="B16" s="17">
        <ns0:f>'7_原始输入'!B145/1000</ns0:f>
        <ns0:v>0.127</ns0:v>
      </ns0:c>
      <ns0:c r="C16" s="17">
        <ns0:f>'7_原始输入'!B146/1000</ns0:f>
        <ns0:v>0.0</ns0:v>
      </ns0:c>
      <ns0:c r="D16" s="17">
        <ns0:f>'7_原始输入'!B147/1000</ns0:f>
        <ns0:v>0.117</ns0:v>
      </ns0:c>
      <ns0:c r="E16" s="17">
        <ns0:f>'7_原始输入'!B148/1000</ns0:f>
        <ns0:v>0.808</ns0:v>
      </ns0:c>
    </ns0:row>
    <ns0:row r="17">
      <ns0:c r="A17" s="16" t="inlineStr">
        <ns0:is>
          <ns0:t>资本开支合计</ns0:t>
        </ns0:is>
      </ns0:c>
      <ns0:c r="B17" s="33">
        <ns0:f>B15+B16</ns0:f>
        <ns0:v>16.033</ns0:v>
      </ns0:c>
      <ns0:c r="C17" s="33">
        <ns0:f>C15+C16</ns0:f>
        <ns0:v>33.272</ns0:v>
      </ns0:c>
      <ns0:c r="D17" s="33">
        <ns0:f>D15+D16</ns0:f>
        <ns0:v>134.471</ns0:v>
      </ns0:c>
      <ns0:c r="E17" s="33">
        <ns0:f>E15+E16</ns0:f>
        <ns0:v>236.25</ns0:v>
      </ns0:c>
    </ns0:row>
    <ns0:row r="18">
      <ns0:c r="A18" s="16" t="inlineStr">
        <ns0:is>
          <ns0:t>FCF</ns0:t>
        </ns0:is>
      </ns0:c>
      <ns0:c r="B18" s="33">
        <ns0:f>B14-B17</ns0:f>
        <ns0:v>-239.77499999999998</ns0:v>
      </ns0:c>
      <ns0:c r="C18" s="33">
        <ns0:f>C14-C17</ns0:f>
        <ns0:v>-360.452</ns0:v>
      </ns0:c>
      <ns0:c r="D18" s="33">
        <ns0:f>D14-D17</ns0:f>
        <ns0:v>-797.867</ns0:v>
      </ns0:c>
      <ns0:c r="E18" s="33">
        <ns0:f>E14-E17</ns0:f>
        <ns0:v>-951.927</ns0:v>
      </ns0:c>
    </ns0:row>
    <ns0:row r="19">
      <ns0:c r="A19" s="16" t="inlineStr">
        <ns0:is>
          <ns0:t>投资现金流</ns0:t>
        </ns0:is>
      </ns0:c>
      <ns0:c r="B19" s="17">
        <ns0:f>'7_原始输入'!B149/1000</ns0:f>
        <ns0:v>-555.576</ns0:v>
      </ns0:c>
      <ns0:c r="C19" s="17">
        <ns0:f>'7_原始输入'!B150/1000</ns0:f>
        <ns0:v>453.236</ns0:v>
      </ns0:c>
      <ns0:c r="D19" s="17">
        <ns0:f>'7_原始输入'!B151/1000</ns0:f>
        <ns0:v>218.699</ns0:v>
      </ns0:c>
      <ns0:c r="E19" s="17">
        <ns0:f>'7_原始输入'!B152/1000</ns0:f>
        <ns0:v>-960.615</ns0:v>
      </ns0:c>
    </ns0:row>
    <ns0:row r="20">
      <ns0:c r="A20" s="16" t="inlineStr">
        <ns0:is>
          <ns0:t>融资现金流</ns0:t>
        </ns0:is>
      </ns0:c>
      <ns0:c r="B20" s="17">
        <ns0:f>'7_原始输入'!B153/1000</ns0:f>
        <ns0:v>193.356</ns0:v>
      </ns0:c>
      <ns0:c r="C20" s="17">
        <ns0:f>'7_原始输入'!B154/1000</ns0:f>
        <ns0:v>-8.877</ns0:v>
      </ns0:c>
      <ns0:c r="D20" s="17">
        <ns0:f>'7_原始输入'!B155/1000</ns0:f>
        <ns0:v>3.899</ns0:v>
      </ns0:c>
      <ns0:c r="E20" s="17">
        <ns0:f>'7_原始输入'!B156/1000</ns0:f>
        <ns0:v>-544.316</ns0:v>
      </ns0:c>
    </ns0:row>
    <ns0:row r="21">
      <ns0:c r="A21" s="16" t="inlineStr">
        <ns0:is>
          <ns0:t>现金</ns0:t>
        </ns0:is>
      </ns0:c>
      <ns0:c r="B21" s="17">
        <ns0:f>'7_原始输入'!B157/1000</ns0:f>
        <ns0:v>1659.97</ns0:v>
      </ns0:c>
      <ns0:c r="C21" s="17">
        <ns0:f>'7_原始输入'!B158/1000</ns0:f>
        <ns0:v>1828.943</ns0:v>
      </ns0:c>
      <ns0:c r="D21" s="17">
        <ns0:f>'7_原始输入'!B159/1000</ns0:f>
        <ns0:v>3836.137</ns0:v>
      </ns0:c>
      <ns0:c r="E21" s="17">
        <ns0:f>'7_原始输入'!B160/1000</ns0:f>
        <ns0:v>4275.014</ns0:v>
      </ns0:c>
    </ns0:row>
    <ns0:row r="22"/>
    <ns0:row r="23"/>
    <ns0:row r="24">
      <ns0:c r="A24" s="16" t="inlineStr">
        <ns0:is>
          <ns0:t>H1 2026回购（不进FCF）</ns0:t>
        </ns0:is>
      </ns0:c>
      <ns0:c r="B24" s="17">
        <ns0:f>'7_原始输入'!B266/1000</ns0:f>
        <ns0:v>684.809</ns0:v>
      </ns0:c>
    </ns0:row>
    <ns0:row r="25">
      <ns0:c r="A25" s="16" t="inlineStr">
        <ns0:is>
          <ns0:t>H1 2026租赁本金/利息+贷款利息</ns0:t>
        </ns0:is>
      </ns0:c>
      <ns0:c r="B25" s="17">
        <ns0:f>('7_原始输入'!B267+'7_原始输入'!B268+'7_原始输入'!B269)/1000</ns0:f>
        <ns0:v>29.619</ns0:v>
      </ns0:c>
    </ns0:row>
    <ns0:row r="26">
      <ns0:c r="A26" s="16" t="inlineStr">
        <ns0:is>
          <ns0:t>H1 2026全现金支出压力（不含融资/资金调配）</ns0:t>
        </ns0:is>
      </ns0:c>
      <ns0:c r="B26" s="33">
        <ns0:f>-G6+B24+B25</ns0:f>
        <ns0:v>1666.3549999999998</ns0:v>
      </ns0:c>
    </ns0:row>
    <ns0:row r="27">
      <ns0:c r="A27" s="16" t="inlineStr">
        <ns0:is>
          <ns0:t>现金桥勾稽差</ns0:t>
        </ns0:is>
      </ns0:c>
      <ns0:c r="B27" s="17">
        <ns0:f>F9+G2+G7+G8+'7_原始输入'!B270/1000-G9</ns0:f>
        <ns0:v>9.094947017729282e-13</ns0:v>
      </ns0:c>
    </ns0:row>
    <ns0:row r="28"/>
    <ns0:row r="29">
      <ns0:c r="A29" s="16" t="inlineStr">
        <ns0:is>
          <ns0:t>亏损/亏损的OCF净利比不作利润质量判断；H1 2024后列OCF与融资净额分别变378，净现金变动不变。</ns0:t>
        </ns0:is>
      </ns0:c>
    </ns0:row>
  </ns0:sheetData>
  <ns0:printOptions horizontalCentered="1"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H33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8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</ns0:cols>
  <ns0:sheetData>
    <ns0:row r="1">
      <ns0:c r="A1" s="25" t="inlineStr">
        <ns0:is>
          <ns0:t>资产负债（人民币百万）</ns0:t>
        </ns0:is>
      </ns0:c>
      <ns0:c r="B1" s="25" t="inlineStr">
        <ns0:is>
          <ns0:t>FY2021</ns0:t>
        </ns0:is>
      </ns0:c>
      <ns0:c r="C1" s="25" t="inlineStr">
        <ns0:is>
          <ns0:t>FY2022</ns0:t>
        </ns0:is>
      </ns0:c>
      <ns0:c r="D1" s="25" t="inlineStr">
        <ns0:is>
          <ns0:t>FY2023</ns0:t>
        </ns0:is>
      </ns0:c>
      <ns0:c r="E1" s="25" t="inlineStr">
        <ns0:is>
          <ns0:t>FY2024</ns0:t>
        </ns0:is>
      </ns0:c>
      <ns0:c r="F1" s="25" t="inlineStr">
        <ns0:is>
          <ns0:t>FY2025</ns0:t>
        </ns0:is>
      </ns0:c>
      <ns0:c r="G1" s="25" t="inlineStr">
        <ns0:is>
          <ns0:t>H12026</ns0:t>
        </ns0:is>
      </ns0:c>
      <ns0:c r="H1" s="25" t="inlineStr">
        <ns0:is>
          <ns0:t>口径</ns0:t>
        </ns0:is>
      </ns0:c>
    </ns0:row>
    <ns0:row r="2">
      <ns0:c r="A2" s="16" t="inlineStr">
        <ns0:is>
          <ns0:t>总资产</ns0:t>
        </ns0:is>
      </ns0:c>
      <ns0:c r="B2" s="26" t="inlineStr">
        <ns0:is>
          <ns0:t>未取得</ns0:t>
        </ns0:is>
      </ns0:c>
      <ns0:c r="C2" s="20">
        <ns0:f>'7_原始输入'!B161/1000</ns0:f>
        <ns0:v>5385.391</ns0:v>
      </ns0:c>
      <ns0:c r="D2" s="20">
        <ns0:f>'7_原始输入'!B162/1000</ns0:f>
        <ns0:v>5614.258</ns0:v>
      </ns0:c>
      <ns0:c r="E2" s="20">
        <ns0:f>'7_原始输入'!B163/1000</ns0:f>
        <ns0:v>7693.77</ns0:v>
      </ns0:c>
      <ns0:c r="F2" s="20">
        <ns0:f>'7_原始输入'!B164/1000</ns0:f>
        <ns0:v>8935.925</ns0:v>
      </ns0:c>
      <ns0:c r="G2" s="20">
        <ns0:f>'7_原始输入'!B165/1000</ns0:f>
        <ns0:v>7755.416</ns0:v>
      </ns0:c>
    </ns0:row>
    <ns0:row r="3">
      <ns0:c r="A3" s="16" t="inlineStr">
        <ns0:is>
          <ns0:t>归母权益</ns0:t>
        </ns0:is>
      </ns0:c>
      <ns0:c r="B3" s="26" t="inlineStr">
        <ns0:is>
          <ns0:t>未取得</ns0:t>
        </ns0:is>
      </ns0:c>
      <ns0:c r="C3" s="20">
        <ns0:f>'7_原始输入'!B166/1000</ns0:f>
        <ns0:v>-2082.116</ns0:v>
      </ns0:c>
      <ns0:c r="D3" s="20">
        <ns0:f>'7_原始输入'!B167/1000</ns0:f>
        <ns0:v>-3051.918</ns0:v>
      </ns0:c>
      <ns0:c r="E3" s="20">
        <ns0:f>'7_原始输入'!B168/1000</ns0:f>
        <ns0:v>7066.019</ns0:v>
      </ns0:c>
      <ns0:c r="F3" s="20">
        <ns0:f>'7_原始输入'!B169/1000</ns0:f>
        <ns0:v>7900.174</ns0:v>
      </ns0:c>
      <ns0:c r="G3" s="20">
        <ns0:f>'7_原始输入'!B170/1000</ns0:f>
        <ns0:v>6395.302</ns0:v>
      </ns0:c>
    </ns0:row>
    <ns0:row r="4">
      <ns0:c r="A4" s="16" t="inlineStr">
        <ns0:is>
          <ns0:t>现金</ns0:t>
        </ns0:is>
      </ns0:c>
      <ns0:c r="B4" s="20">
        <ns0:f>'7_原始输入'!B92/1000</ns0:f>
        <ns0:v>2725.568</ns0:v>
      </ns0:c>
      <ns0:c r="C4" s="20">
        <ns0:f>'7_原始输入'!B93/1000</ns0:f>
        <ns0:v>2233.691</ns0:v>
      </ns0:c>
      <ns0:c r="D4" s="20">
        <ns0:f>'7_原始输入'!B94/1000</ns0:f>
        <ns0:v>1661.152</ns0:v>
      </ns0:c>
      <ns0:c r="E4" s="20">
        <ns0:f>'7_原始输入'!B95/1000</ns0:f>
        <ns0:v>4268.3</ns0:v>
      </ns0:c>
      <ns0:c r="F4" s="20">
        <ns0:f>'7_原始输入'!B96/1000</ns0:f>
        <ns0:v>6666.304</ns0:v>
      </ns0:c>
      <ns0:c r="G4" s="20">
        <ns0:f>'7_原始输入'!B160/1000</ns0:f>
        <ns0:v>4275.014</ns0:v>
      </ns0:c>
    </ns0:row>
    <ns0:row r="5">
      <ns0:c r="A5" s="16" t="inlineStr">
        <ns0:is>
          <ns0:t>短期贷款</ns0:t>
        </ns0:is>
      </ns0:c>
      <ns0:c r="B5" s="26" t="inlineStr">
        <ns0:is>
          <ns0:t>未取得</ns0:t>
        </ns0:is>
      </ns0:c>
      <ns0:c r="C5" s="20">
        <ns0:f>'7_原始输入'!B171/1000</ns0:f>
        <ns0:v>0.0</ns0:v>
      </ns0:c>
      <ns0:c r="D5" s="20">
        <ns0:f>'7_原始输入'!B172/1000</ns0:f>
        <ns0:v>0.0</ns0:v>
      </ns0:c>
      <ns0:c r="E5" s="20">
        <ns0:f>'7_原始输入'!B173/1000</ns0:f>
        <ns0:v>30.019</ns0:v>
      </ns0:c>
      <ns0:c r="F5" s="20">
        <ns0:f>'7_原始输入'!B174/1000</ns0:f>
        <ns0:v>324.263</ns0:v>
      </ns0:c>
      <ns0:c r="G5" s="20">
        <ns0:f>'7_原始输入'!B175/1000</ns0:f>
        <ns0:v>485.047</ns0:v>
      </ns0:c>
    </ns0:row>
    <ns0:row r="6">
      <ns0:c r="A6" s="16" t="inlineStr">
        <ns0:is>
          <ns0:t>长期贷款</ns0:t>
        </ns0:is>
      </ns0:c>
      <ns0:c r="B6" s="26" t="inlineStr">
        <ns0:is>
          <ns0:t>未取得</ns0:t>
        </ns0:is>
      </ns0:c>
      <ns0:c r="C6" s="20">
        <ns0:f>'7_原始输入'!B176/1000</ns0:f>
        <ns0:v>0.0</ns0:v>
      </ns0:c>
      <ns0:c r="D6" s="20">
        <ns0:f>'7_原始输入'!B177/1000</ns0:f>
        <ns0:v>0.0</ns0:v>
      </ns0:c>
      <ns0:c r="E6" s="20">
        <ns0:f>'7_原始输入'!B178/1000</ns0:f>
        <ns0:v>50.04</ns0:v>
      </ns0:c>
      <ns0:c r="F6" s="20">
        <ns0:f>'7_原始输入'!B179/1000</ns0:f>
        <ns0:v>0.0</ns0:v>
      </ns0:c>
      <ns0:c r="G6" s="20">
        <ns0:f>'7_原始输入'!B180/1000</ns0:f>
        <ns0:v>0.0</ns0:v>
      </ns0:c>
    </ns0:row>
    <ns0:row r="7">
      <ns0:c r="A7" s="16" t="inlineStr">
        <ns0:is>
          <ns0:t>租赁流动</ns0:t>
        </ns0:is>
      </ns0:c>
      <ns0:c r="B7" s="26" t="inlineStr">
        <ns0:is>
          <ns0:t>未取得</ns0:t>
        </ns0:is>
      </ns0:c>
      <ns0:c r="C7" s="20">
        <ns0:f>'7_原始输入'!B181/1000</ns0:f>
        <ns0:v>32.009</ns0:v>
      </ns0:c>
      <ns0:c r="D7" s="20">
        <ns0:f>'7_原始输入'!B182/1000</ns0:f>
        <ns0:v>31.098</ns0:v>
      </ns0:c>
      <ns0:c r="E7" s="20">
        <ns0:f>'7_原始输入'!B183/1000</ns0:f>
        <ns0:v>36.9</ns0:v>
      </ns0:c>
      <ns0:c r="F7" s="20">
        <ns0:f>'7_原始输入'!B184/1000</ns0:f>
        <ns0:v>31.92</ns0:v>
      </ns0:c>
      <ns0:c r="G7" s="20">
        <ns0:f>'7_原始输入'!B185/1000</ns0:f>
        <ns0:v>35.39</ns0:v>
      </ns0:c>
    </ns0:row>
    <ns0:row r="8">
      <ns0:c r="A8" s="16" t="inlineStr">
        <ns0:is>
          <ns0:t>租赁非流动</ns0:t>
        </ns0:is>
      </ns0:c>
      <ns0:c r="B8" s="26" t="inlineStr">
        <ns0:is>
          <ns0:t>未取得</ns0:t>
        </ns0:is>
      </ns0:c>
      <ns0:c r="C8" s="20">
        <ns0:f>'7_原始输入'!B186/1000</ns0:f>
        <ns0:v>35.864</ns0:v>
      </ns0:c>
      <ns0:c r="D8" s="20">
        <ns0:f>'7_原始输入'!B187/1000</ns0:f>
        <ns0:v>22.309</ns0:v>
      </ns0:c>
      <ns0:c r="E8" s="20">
        <ns0:f>'7_原始输入'!B188/1000</ns0:f>
        <ns0:v>26.059</ns0:v>
      </ns0:c>
      <ns0:c r="F8" s="20">
        <ns0:f>'7_原始输入'!B189/1000</ns0:f>
        <ns0:v>23.241</ns0:v>
      </ns0:c>
      <ns0:c r="G8" s="20">
        <ns0:f>'7_原始输入'!B190/1000</ns0:f>
        <ns0:v>95.397</ns0:v>
      </ns0:c>
    </ns0:row>
    <ns0:row r="9">
      <ns0:c r="A9" s="16" t="inlineStr">
        <ns0:is>
          <ns0:t>贸易应收净额</ns0:t>
        </ns0:is>
      </ns0:c>
      <ns0:c r="B9" s="26" t="inlineStr">
        <ns0:is>
          <ns0:t>未取得</ns0:t>
        </ns0:is>
      </ns0:c>
      <ns0:c r="C9" s="20">
        <ns0:f>'7_原始输入'!B191/1000</ns0:f>
        <ns0:v>236.39</ns0:v>
      </ns0:c>
      <ns0:c r="D9" s="20">
        <ns0:f>'7_原始输入'!B192/1000</ns0:f>
        <ns0:v>266.933</ns0:v>
      </ns0:c>
      <ns0:c r="E9" s="20">
        <ns0:f>'7_原始输入'!B193/1000</ns0:f>
        <ns0:v>252.607</ns0:v>
      </ns0:c>
      <ns0:c r="F9" s="20">
        <ns0:f>'7_原始输入'!B194/1000</ns0:f>
        <ns0:v>462.135</ns0:v>
      </ns0:c>
      <ns0:c r="G9" s="20">
        <ns0:f>'7_原始输入'!B195/1000</ns0:f>
        <ns0:v>455.765</ns0:v>
      </ns0:c>
    </ns0:row>
    <ns0:row r="10">
      <ns0:c r="A10" s="16" t="inlineStr">
        <ns0:is>
          <ns0:t>合同资产净额</ns0:t>
        </ns0:is>
      </ns0:c>
      <ns0:c r="B10" s="26" t="inlineStr">
        <ns0:is>
          <ns0:t>未取得</ns0:t>
        </ns0:is>
      </ns0:c>
      <ns0:c r="C10" s="20">
        <ns0:f>'7_原始输入'!B196/1000</ns0:f>
        <ns0:v>92.597</ns0:v>
      </ns0:c>
      <ns0:c r="D10" s="20">
        <ns0:f>'7_原始输入'!B197/1000</ns0:f>
        <ns0:v>82.826</ns0:v>
      </ns0:c>
      <ns0:c r="E10" s="20">
        <ns0:f>'7_原始输入'!B198/1000</ns0:f>
        <ns0:v>28.005</ns0:v>
      </ns0:c>
      <ns0:c r="F10" s="20">
        <ns0:f>'7_原始输入'!B199/1000</ns0:f>
        <ns0:v>23.305</ns0:v>
      </ns0:c>
      <ns0:c r="G10" s="20">
        <ns0:f>'7_原始输入'!B200/1000</ns0:f>
        <ns0:v>23.964</ns0:v>
      </ns0:c>
    </ns0:row>
    <ns0:row r="11">
      <ns0:c r="A11" s="16" t="inlineStr">
        <ns0:is>
          <ns0:t>定期存款</ns0:t>
        </ns0:is>
      </ns0:c>
      <ns0:c r="B11" s="26" t="inlineStr">
        <ns0:is>
          <ns0:t>未取得</ns0:t>
        </ns0:is>
      </ns0:c>
      <ns0:c r="C11" s="20">
        <ns0:f>'7_原始输入'!B201/1000</ns0:f>
        <ns0:v>1057.292</ns0:v>
      </ns0:c>
      <ns0:c r="D11" s="20">
        <ns0:f>'7_原始输入'!B202/1000</ns0:f>
        <ns0:v>2550.279</ns0:v>
      </ns0:c>
      <ns0:c r="E11" s="20">
        <ns0:f>'7_原始输入'!B203/1000</ns0:f>
        <ns0:v>620.148</ns0:v>
      </ns0:c>
      <ns0:c r="F11" s="20">
        <ns0:f>'7_原始输入'!B204/1000</ns0:f>
        <ns0:v>301.401</ns0:v>
      </ns0:c>
      <ns0:c r="G11" s="20">
        <ns0:f>'7_原始输入'!B205/1000</ns0:f>
        <ns0:v>1099.805</ns0:v>
      </ns0:c>
    </ns0:row>
    <ns0:row r="12">
      <ns0:c r="A12" s="16" t="inlineStr">
        <ns0:is>
          <ns0:t>流动FVTPL</ns0:t>
        </ns0:is>
      </ns0:c>
      <ns0:c r="B12" s="35" t="inlineStr">
        <ns0:is>
          <ns0:t>未取得</ns0:t>
        </ns0:is>
      </ns0:c>
      <ns0:c r="C12" s="22">
        <ns0:f>'7_原始输入'!B206/1000</ns0:f>
        <ns0:v>1218.524</ns0:v>
      </ns0:c>
      <ns0:c r="D12" s="22">
        <ns0:f>'7_原始输入'!B207/1000</ns0:f>
        <ns0:v>317.042</ns0:v>
      </ns0:c>
      <ns0:c r="E12" s="22">
        <ns0:f>'7_原始输入'!B208/1000</ns0:f>
        <ns0:v>1685.146</ns0:v>
      </ns0:c>
      <ns0:c r="F12" s="22">
        <ns0:f>'7_原始输入'!B209/1000</ns0:f>
        <ns0:v>144.252</ns0:v>
      </ns0:c>
      <ns0:c r="G12" s="22">
        <ns0:f>'7_原始输入'!B210/1000</ns0:f>
        <ns0:v>2.293</ns0:v>
      </ns0:c>
    </ns0:row>
    <ns0:row r="13">
      <ns0:c r="A13" s="16" t="inlineStr">
        <ns0:is>
          <ns0:t>非流动FVTPL</ns0:t>
        </ns0:is>
      </ns0:c>
      <ns0:c r="B13" s="35" t="inlineStr">
        <ns0:is>
          <ns0:t>未取得</ns0:t>
        </ns0:is>
      </ns0:c>
      <ns0:c r="C13" s="35" t="inlineStr">
        <ns0:is>
          <ns0:t>未取得</ns0:t>
        </ns0:is>
      </ns0:c>
      <ns0:c r="D13" s="22">
        <ns0:f>'7_原始输入'!B211/1000</ns0:f>
        <ns0:v>0.0</ns0:v>
      </ns0:c>
      <ns0:c r="E13" s="22">
        <ns0:f>'7_原始输入'!B212/1000</ns0:f>
        <ns0:v>56.919</ns0:v>
      </ns0:c>
      <ns0:c r="F13" s="22">
        <ns0:f>'7_原始输入'!B213/1000</ns0:f>
        <ns0:v>188.083</ns0:v>
      </ns0:c>
      <ns0:c r="G13" s="22">
        <ns0:f>'7_原始输入'!B214/1000</ns0:f>
        <ns0:v>252.411</ns0:v>
      </ns0:c>
    </ns0:row>
    <ns0:row r="14">
      <ns0:c r="A14" s="16" t="inlineStr">
        <ns0:is>
          <ns0:t>受限现金流动</ns0:t>
        </ns0:is>
      </ns0:c>
      <ns0:c r="B14" s="24" t="inlineStr">
        <ns0:is>
          <ns0:t>未取得</ns0:t>
        </ns0:is>
      </ns0:c>
      <ns0:c r="C14" s="22">
        <ns0:f>'7_原始输入'!B215/1000</ns0:f>
        <ns0:v>1.393</ns0:v>
      </ns0:c>
      <ns0:c r="D14" s="22">
        <ns0:f>'7_原始输入'!B216/1000</ns0:f>
        <ns0:v>10.194</ns0:v>
      </ns0:c>
      <ns0:c r="E14" s="22">
        <ns0:f>'7_原始输入'!B217/1000</ns0:f>
        <ns0:v>4.814</ns0:v>
      </ns0:c>
      <ns0:c r="F14" s="22">
        <ns0:f>'7_原始输入'!B218/1000</ns0:f>
        <ns0:v>12.91</ns0:v>
      </ns0:c>
      <ns0:c r="G14" s="22">
        <ns0:f>'7_原始输入'!B219/1000</ns0:f>
        <ns0:v>10.42</ns0:v>
      </ns0:c>
    </ns0:row>
    <ns0:row r="15">
      <ns0:c r="A15" s="16" t="inlineStr">
        <ns0:is>
          <ns0:t>受限现金非流动</ns0:t>
        </ns0:is>
      </ns0:c>
      <ns0:c r="B15" s="24" t="inlineStr">
        <ns0:is>
          <ns0:t>未取得</ns0:t>
        </ns0:is>
      </ns0:c>
      <ns0:c r="C15" s="22">
        <ns0:f>'7_原始输入'!B220/1000</ns0:f>
        <ns0:v>11.004</ns0:v>
      </ns0:c>
      <ns0:c r="D15" s="22">
        <ns0:f>'7_原始输入'!B221/1000</ns0:f>
        <ns0:v>1.575</ns0:v>
      </ns0:c>
      <ns0:c r="E15" s="22">
        <ns0:f>'7_原始输入'!B222/1000</ns0:f>
        <ns0:v>9.669</ns0:v>
      </ns0:c>
      <ns0:c r="F15" s="22">
        <ns0:f>'7_原始输入'!B223/1000</ns0:f>
        <ns0:v>6.487</ns0:v>
      </ns0:c>
      <ns0:c r="G15" s="22">
        <ns0:f>'7_原始输入'!B224/1000</ns0:f>
        <ns0:v>10.988</ns0:v>
      </ns0:c>
    </ns0:row>
    <ns0:row r="16">
      <ns0:c r="A16" s="16" t="inlineStr">
        <ns0:is>
          <ns0:t>存货</ns0:t>
        </ns0:is>
      </ns0:c>
      <ns0:c r="B16" s="16" t="inlineStr">
        <ns0:is>
          <ns0:t>未取得</ns0:t>
        </ns0:is>
      </ns0:c>
      <ns0:c r="C16" s="17">
        <ns0:f>'7_原始输入'!B225/1000</ns0:f>
        <ns0:v>156.005</ns0:v>
      </ns0:c>
      <ns0:c r="D16" s="17">
        <ns0:f>'7_原始输入'!B226/1000</ns0:f>
        <ns0:v>218.22</ns0:v>
      </ns0:c>
      <ns0:c r="E16" s="17">
        <ns0:f>'7_原始输入'!B227/1000</ns0:f>
        <ns0:v>204.705</ns0:v>
      </ns0:c>
      <ns0:c r="F16" s="17">
        <ns0:f>'7_原始输入'!B228/1000</ns0:f>
        <ns0:v>321.021</ns0:v>
      </ns0:c>
      <ns0:c r="G16" s="17">
        <ns0:f>'7_原始输入'!B229/1000</ns0:f>
        <ns0:v>439.112</ns0:v>
      </ns0:c>
    </ns0:row>
    <ns0:row r="17">
      <ns0:c r="A17" s="30" t="inlineStr">
        <ns0:is>
          <ns0:t>总负债</ns0:t>
        </ns0:is>
      </ns0:c>
      <ns0:c r="B17" s="16" t="inlineStr">
        <ns0:is>
          <ns0:t>未取得</ns0:t>
        </ns0:is>
      </ns0:c>
      <ns0:c r="C17" s="17">
        <ns0:f>'7_原始输入'!B230/1000</ns0:f>
        <ns0:v>7467.507</ns0:v>
      </ns0:c>
      <ns0:c r="D17" s="17">
        <ns0:f>'7_原始输入'!B231/1000</ns0:f>
        <ns0:v>8666.176</ns0:v>
      </ns0:c>
      <ns0:c r="E17" s="17">
        <ns0:f>'7_原始输入'!B232/1000</ns0:f>
        <ns0:v>627.751</ns0:v>
      </ns0:c>
      <ns0:c r="F17" s="17">
        <ns0:f>'7_原始输入'!B233/1000</ns0:f>
        <ns0:v>1035.751</ns0:v>
      </ns0:c>
      <ns0:c r="G17" s="17">
        <ns0:f>'7_原始输入'!B234/1000</ns0:f>
        <ns0:v>1360.114</ns0:v>
      </ns0:c>
    </ns0:row>
    <ns0:row r="18">
      <ns0:c r="A18" s="16" t="inlineStr">
        <ns0:is>
          <ns0:t>流动资产</ns0:t>
        </ns0:is>
      </ns0:c>
      <ns0:c r="B18" s="16" t="inlineStr">
        <ns0:is>
          <ns0:t>未取得</ns0:t>
        </ns0:is>
      </ns0:c>
      <ns0:c r="C18" s="17">
        <ns0:f>'7_原始输入'!B235/1000</ns0:f>
        <ns0:v>5073.473</ns0:v>
      </ns0:c>
      <ns0:c r="D18" s="17">
        <ns0:f>'7_原始输入'!B236/1000</ns0:f>
        <ns0:v>5370.023</ns0:v>
      </ns0:c>
      <ns0:c r="E18" s="17">
        <ns0:f>'7_原始输入'!B237/1000</ns0:f>
        <ns0:v>7287.995</ns0:v>
      </ns0:c>
      <ns0:c r="F18" s="17">
        <ns0:f>'7_原始输入'!B238/1000</ns0:f>
        <ns0:v>8210.324</ns0:v>
      </ns0:c>
      <ns0:c r="G18" s="17">
        <ns0:f>'7_原始输入'!B239/1000</ns0:f>
        <ns0:v>6628.076</ns0:v>
      </ns0:c>
    </ns0:row>
    <ns0:row r="19">
      <ns0:c r="A19" s="16" t="inlineStr">
        <ns0:is>
          <ns0:t>流动负债</ns0:t>
        </ns0:is>
      </ns0:c>
      <ns0:c r="B19" s="16" t="inlineStr">
        <ns0:is>
          <ns0:t>未取得</ns0:t>
        </ns0:is>
      </ns0:c>
      <ns0:c r="C19" s="16" t="inlineStr">
        <ns0:is>
          <ns0:t>未取得</ns0:t>
        </ns0:is>
      </ns0:c>
      <ns0:c r="D19" s="17">
        <ns0:f>'7_原始输入'!B240/1000</ns0:f>
        <ns0:v>8591.413</ns0:v>
      </ns0:c>
      <ns0:c r="E19" s="17">
        <ns0:f>'7_原始输入'!B241/1000</ns0:f>
        <ns0:v>542.489</ns0:v>
      </ns0:c>
      <ns0:c r="F19" s="17">
        <ns0:f>'7_原始输入'!B242/1000</ns0:f>
        <ns0:v>1001.301</ns0:v>
      </ns0:c>
      <ns0:c r="G19" s="17">
        <ns0:f>'7_原始输入'!B243/1000</ns0:f>
        <ns0:v>1236.732</ns0:v>
      </ns0:c>
    </ns0:row>
    <ns0:row r="20">
      <ns0:c r="A20" s="16" t="inlineStr">
        <ns0:is>
          <ns0:t>应收拨备</ns0:t>
        </ns0:is>
      </ns0:c>
      <ns0:c r="B20" s="16" t="inlineStr">
        <ns0:is>
          <ns0:t>未取得</ns0:t>
        </ns0:is>
      </ns0:c>
      <ns0:c r="C20" s="16" t="inlineStr">
        <ns0:is>
          <ns0:t>未取得</ns0:t>
        </ns0:is>
      </ns0:c>
      <ns0:c r="D20" s="16" t="inlineStr">
        <ns0:is>
          <ns0:t>未取得</ns0:t>
        </ns0:is>
      </ns0:c>
      <ns0:c r="E20" s="16" t="inlineStr">
        <ns0:is>
          <ns0:t>未取得</ns0:t>
        </ns0:is>
      </ns0:c>
      <ns0:c r="F20" s="17">
        <ns0:f>'7_原始输入'!B244/1000</ns0:f>
        <ns0:v>69.795</ns0:v>
      </ns0:c>
      <ns0:c r="G20" s="17">
        <ns0:f>'7_原始输入'!B245/1000</ns0:f>
        <ns0:v>66.058</ns0:v>
      </ns0:c>
    </ns0:row>
    <ns0:row r="21">
      <ns0:c r="A21" s="16" t="inlineStr">
        <ns0:is>
          <ns0:t>合同资产拨备</ns0:t>
        </ns0:is>
      </ns0:c>
      <ns0:c r="B21" s="16" t="inlineStr">
        <ns0:is>
          <ns0:t>未取得</ns0:t>
        </ns0:is>
      </ns0:c>
      <ns0:c r="C21" s="16" t="inlineStr">
        <ns0:is>
          <ns0:t>未取得</ns0:t>
        </ns0:is>
      </ns0:c>
      <ns0:c r="D21" s="16" t="inlineStr">
        <ns0:is>
          <ns0:t>未取得</ns0:t>
        </ns0:is>
      </ns0:c>
      <ns0:c r="E21" s="16" t="inlineStr">
        <ns0:is>
          <ns0:t>未取得</ns0:t>
        </ns0:is>
      </ns0:c>
      <ns0:c r="F21" s="17">
        <ns0:f>'7_原始输入'!B246/1000</ns0:f>
        <ns0:v>23.91</ns0:v>
      </ns0:c>
      <ns0:c r="G21" s="17">
        <ns0:f>'7_原始输入'!B247/1000</ns0:f>
        <ns0:v>23.495</ns0:v>
      </ns0:c>
    </ns0:row>
    <ns0:row r="22">
      <ns0:c r="A22" s="16" t="inlineStr">
        <ns0:is>
          <ns0:t>固定资产</ns0:t>
        </ns0:is>
      </ns0:c>
      <ns0:c r="B22" s="16" t="inlineStr">
        <ns0:is>
          <ns0:t>未取得</ns0:t>
        </ns0:is>
      </ns0:c>
      <ns0:c r="C22" s="17">
        <ns0:f>'7_原始输入'!B248/1000</ns0:f>
        <ns0:v>113.878</ns0:v>
      </ns0:c>
      <ns0:c r="D22" s="17">
        <ns0:f>'7_原始输入'!B249/1000</ns0:f>
        <ns0:v>98.574</ns0:v>
      </ns0:c>
      <ns0:c r="E22" s="17">
        <ns0:f>'7_原始输入'!B250/1000</ns0:f>
        <ns0:v>178.179</ns0:v>
      </ns0:c>
      <ns0:c r="F22" s="17">
        <ns0:f>'7_原始输入'!B251/1000</ns0:f>
        <ns0:v>378.769</ns0:v>
      </ns0:c>
      <ns0:c r="G22" s="17">
        <ns0:f>'7_原始输入'!B252/1000</ns0:f>
        <ns0:v>573.233</ns0:v>
      </ns0:c>
    </ns0:row>
    <ns0:row r="23">
      <ns0:c r="A23" s="16" t="inlineStr">
        <ns0:is>
          <ns0:t>回售期权负债</ns0:t>
        </ns0:is>
      </ns0:c>
      <ns0:c r="B23" s="16" t="inlineStr">
        <ns0:is>
          <ns0:t>未取得</ns0:t>
        </ns0:is>
      </ns0:c>
      <ns0:c r="C23" s="17">
        <ns0:f>'7_原始输入'!B253/1000</ns0:f>
        <ns0:v>39.812</ns0:v>
      </ns0:c>
      <ns0:c r="D23" s="17">
        <ns0:f>'7_原始输入'!B254/1000</ns0:f>
        <ns0:v>40.449</ns0:v>
      </ns0:c>
      <ns0:c r="E23" s="17">
        <ns0:f>'7_原始输入'!B255/1000</ns0:f>
        <ns0:v>41.099</ns0:v>
      </ns0:c>
      <ns0:c r="F23" s="17">
        <ns0:f>'7_原始输入'!B256/1000</ns0:f>
        <ns0:v>43.3</ns0:v>
      </ns0:c>
      <ns0:c r="G23" s="17">
        <ns0:f>'7_原始输入'!B257/1000</ns0:f>
        <ns0:v>31.681</ns0:v>
      </ns0:c>
    </ns0:row>
    <ns0:row r="24"/>
    <ns0:row r="25"/>
    <ns0:row r="26">
      <ns0:c r="A26" s="16" t="inlineStr">
        <ns0:is>
          <ns0:t>资产负债表勾稽差</ns0:t>
        </ns0:is>
      </ns0:c>
      <ns0:c r="C26" s="33">
        <ns0:f>C2-C3-C17</ns0:f>
        <ns0:v>0.0</ns0:v>
      </ns0:c>
      <ns0:c r="D26" s="33">
        <ns0:f>D2-D3-D17</ns0:f>
        <ns0:v>0.0</ns0:v>
      </ns0:c>
      <ns0:c r="E26" s="33">
        <ns0:f>E2-E3-E17</ns0:f>
        <ns0:v>2.2737367544323206e-13</ns0:v>
      </ns0:c>
      <ns0:c r="F26" s="33">
        <ns0:f>F2-F3-F17</ns0:f>
        <ns0:v>-6.821210263296962e-13</ns0:v>
      </ns0:c>
      <ns0:c r="G26" s="33">
        <ns0:f>G2-G3-G17</ns0:f>
        <ns0:v>4.547473508864641e-13</ns0:v>
      </ns0:c>
    </ns0:row>
    <ns0:row r="27">
      <ns0:c r="A27" s="16" t="inlineStr">
        <ns0:is>
          <ns0:t>流动性池：现金+定存+流动FVTPL</ns0:t>
        </ns0:is>
      </ns0:c>
      <ns0:c r="C27" s="33">
        <ns0:f>C4+C11+C12</ns0:f>
        <ns0:v>4509.507</ns0:v>
      </ns0:c>
      <ns0:c r="D27" s="33">
        <ns0:f>D4+D11+D12</ns0:f>
        <ns0:v>4528.473000000001</ns0:v>
      </ns0:c>
      <ns0:c r="E27" s="33">
        <ns0:f>E4+E11+E12</ns0:f>
        <ns0:v>6573.594</ns0:v>
      </ns0:c>
      <ns0:c r="F27" s="33">
        <ns0:f>F4+F11+F12</ns0:f>
        <ns0:v>7111.957</ns0:v>
      </ns0:c>
      <ns0:c r="G27" s="33">
        <ns0:f>G4+G11+G12</ns0:f>
        <ns0:v>5377.112</ns0:v>
      </ns0:c>
    </ns0:row>
    <ns0:row r="28">
      <ns0:c r="A28" s="16" t="inlineStr">
        <ns0:is>
          <ns0:t>有息债务含租赁</ns0:t>
        </ns0:is>
      </ns0:c>
      <ns0:c r="C28" s="33">
        <ns0:f>SUM(C5:C8)</ns0:f>
        <ns0:v>67.87299999999999</ns0:v>
      </ns0:c>
      <ns0:c r="D28" s="33">
        <ns0:f>SUM(D5:D8)</ns0:f>
        <ns0:v>53.407</ns0:v>
      </ns0:c>
      <ns0:c r="E28" s="33">
        <ns0:f>SUM(E5:E8)</ns0:f>
        <ns0:v>143.018</ns0:v>
      </ns0:c>
      <ns0:c r="F28" s="33">
        <ns0:f>SUM(F5:F8)</ns0:f>
        <ns0:v>379.424</ns0:v>
      </ns0:c>
      <ns0:c r="G28" s="33">
        <ns0:f>SUM(G5:G8)</ns0:f>
        <ns0:v>615.8340000000001</ns0:v>
      </ns0:c>
    </ns0:row>
    <ns0:row r="29">
      <ns0:c r="A29" s="16" t="inlineStr">
        <ns0:is>
          <ns0:t>现金/短贷</ns0:t>
        </ns0:is>
      </ns0:c>
      <ns0:c r="E29" s="33">
        <ns0:f>E4/E5</ns0:f>
        <ns0:v>142.1866151437423</ns0:v>
      </ns0:c>
      <ns0:c r="F29" s="33">
        <ns0:f>F4/F5</ns0:f>
        <ns0:v>20.558324569870756</ns0:v>
      </ns0:c>
      <ns0:c r="G29" s="33">
        <ns0:f>G4/G5</ns0:f>
        <ns0:v>8.813607753475436</ns0:v>
      </ns0:c>
    </ns0:row>
    <ns0:row r="30">
      <ns0:c r="A30" s="16" t="inlineStr">
        <ns0:is>
          <ns0:t>贸易应收+合同资产/资产</ns0:t>
        </ns0:is>
      </ns0:c>
      <ns0:c r="C30" s="33">
        <ns0:f>(C9+C10)/C2</ns0:f>
        <ns0:v>0.06108878631096609</ns0:v>
      </ns0:c>
      <ns0:c r="D30" s="33">
        <ns0:f>(D9+D10)/D2</ns0:f>
        <ns0:v>0.06229834824121015</ns0:v>
      </ns0:c>
      <ns0:c r="E30" s="33">
        <ns0:f>(E9+E10)/E2</ns0:f>
        <ns0:v>0.03647262655369214</ns0:v>
      </ns0:c>
      <ns0:c r="F30" s="33">
        <ns0:f>(F9+F10)/F2</ns0:f>
        <ns0:v>0.05432453831024769</ns0:v>
      </ns0:c>
      <ns0:c r="G30" s="33">
        <ns0:f>(G9+G10)/G2</ns0:f>
        <ns0:v>0.06185728786179877</ns0:v>
      </ns0:c>
    </ns0:row>
    <ns0:row r="31">
      <ns0:c r="A31" s="16" t="inlineStr">
        <ns0:is>
          <ns0:t>贸易应收拨备率</ns0:t>
        </ns0:is>
      </ns0:c>
      <ns0:c r="F31" s="33">
        <ns0:f>F20/(F9+F20)</ns0:f>
        <ns0:v>0.13121087361118947</ns0:v>
      </ns0:c>
      <ns0:c r="G31" s="33">
        <ns0:f>G20/(G9+G20)</ns0:f>
        <ns0:v>0.12659081719280293</ns0:v>
      </ns0:c>
    </ns0:row>
    <ns0:row r="32">
      <ns0:c r="A32" s="16" t="inlineStr">
        <ns0:is>
          <ns0:t>合同资产拨备率</ns0:t>
        </ns0:is>
      </ns0:c>
      <ns0:c r="F32" s="33">
        <ns0:f>F21/(F10+F21)</ns0:f>
        <ns0:v>0.5064068622259875</ns0:v>
      </ns0:c>
      <ns0:c r="G32" s="33">
        <ns0:f>G21/(G10+G21)</ns0:f>
        <ns0:v>0.49505889293916855</ns0:v>
      </ns0:c>
    </ns0:row>
    <ns0:row r="33">
      <ns0:c r="A33" s="16" t="inlineStr">
        <ns0:is>
          <ns0:t>两类合计拨备率</ns0:t>
        </ns0:is>
      </ns0:c>
      <ns0:c r="F33" s="33">
        <ns0:f>(F20+F21)/(F9+F10+F20+F21)</ns0:f>
        <ns0:v>0.16179885866233845</ns0:v>
      </ns0:c>
      <ns0:c r="G33" s="33">
        <ns0:f>(G20+G21)/(G9+G10+G20+G21)</ns0:f>
        <ns0:v>0.15730868005663276</ns0:v>
      </ns0:c>
    </ns0:row>
  </ns0:sheetData>
  <ns0:printOptions horizontalCentered="1"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K1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8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26" customWidth="1" min="9" max="9"/>
    <ns0:col width="26" customWidth="1" min="10" max="10"/>
    <ns0:col width="26" customWidth="1" min="11" max="11"/>
  </ns0:cols>
  <ns0:sheetData>
    <ns0:row r="1">
      <ns0:c r="A1" s="25" t="inlineStr">
        <ns0:is>
          <ns0:t>同日价、H1 2026；USD百万</ns0:t>
        </ns0:is>
      </ns0:c>
      <ns0:c r="B1" s="25" t="inlineStr">
        <ns0:is>
          <ns0:t>收盘USD</ns0:t>
        </ns0:is>
      </ns0:c>
      <ns0:c r="C1" s="25" t="inlineStr">
        <ns0:is>
          <ns0:t>市值</ns0:t>
        </ns0:is>
      </ns0:c>
      <ns0:c r="D1" s="25" t="inlineStr">
        <ns0:is>
          <ns0:t>H1收入</ns0:t>
        </ns0:is>
      </ns0:c>
      <ns0:c r="E1" s="25" t="inlineStr">
        <ns0:is>
          <ns0:t>H1毛利率</ns0:t>
        </ns0:is>
      </ns0:c>
      <ns0:c r="F1" s="25" t="inlineStr">
        <ns0:is>
          <ns0:t>H1 OCF</ns0:t>
        </ns0:is>
      </ns0:c>
      <ns0:c r="G1" s="25" t="inlineStr">
        <ns0:is>
          <ns0:t>H1 FCF</ns0:t>
        </ns0:is>
      </ns0:c>
      <ns0:c r="H1" s="25" t="inlineStr">
        <ns0:is>
          <ns0:t>现金等价物</ns0:t>
        </ns0:is>
      </ns0:c>
      <ns0:c r="I1" s="25" t="inlineStr">
        <ns0:is>
          <ns0:t>流动性池</ns0:t>
        </ns0:is>
      </ns0:c>
      <ns0:c r="J1" s="25" t="inlineStr">
        <ns0:is>
          <ns0:t>静态FCF月数</ns0:t>
        </ns0:is>
      </ns0:c>
      <ns0:c r="K1" s="25" t="inlineStr">
        <ns0:is>
          <ns0:t>归母PB</ns0:t>
        </ns0:is>
      </ns0:c>
    </ns0:row>
    <ns0:row r="2">
      <ns0:c r="A2" s="16" t="inlineStr">
        <ns0:is>
          <ns0:t>WRD</ns0:t>
        </ns0:is>
      </ns0:c>
      <ns0:c r="B2" s="20">
        <ns0:f>'7_原始输入'!B285</ns0:f>
        <ns0:v>5.51</ns0:v>
      </ns0:c>
      <ns0:c r="C2" s="20">
        <ns0:f>'7_原始输入'!B286/1000000</ns0:f>
        <ns0:v>1812.5482304017</ns0:v>
      </ns0:c>
      <ns0:c r="D2" s="20">
        <ns0:f>'7_原始输入'!B100/1000/'7_原始输入'!B277</ns0:f>
        <ns0:v>50.97301439919825</ns0:v>
      </ns0:c>
      <ns0:c r="E2" s="36">
        <ns0:f>'2_利润表五年'!G12</ns0:f>
        <ns0:v>0.36568003539034916</ns0:v>
      </ns0:c>
      <ns0:c r="F2" s="20">
        <ns0:f>'3_现金流照妖镜'!G2/'7_原始输入'!B277</ns0:f>
        <ns0:v>-105.47773798470178</ns0:v>
      </ns0:c>
      <ns0:c r="G2" s="20">
        <ns0:f>'3_现金流照妖镜'!G6/'7_原始输入'!B277</ns0:f>
        <ns0:v>-140.29667948888005</ns0:v>
      </ns0:c>
      <ns0:c r="H2" s="20">
        <ns0:f>'4_资产负债偿债'!G4/'7_原始输入'!B277</ns0:f>
        <ns0:v>630.0591000869553</ns0:v>
      </ns0:c>
      <ns0:c r="I2" s="20">
        <ns0:f>'4_资产负债偿债'!G27/'7_原始输入'!B277</ns0:f>
        <ns0:v>792.4882463044023</ns0:v>
      </ns0:c>
      <ns0:c r="J2" s="20">
        <ns0:f>I2/(-G2/'7_原始输入'!B280)</ns0:f>
        <ns0:v>33.89196020283068</ns0:v>
      </ns0:c>
      <ns0:c r="K2" s="20">
        <ns0:f>C2/('4_资产负债偿债'!G3/'7_原始输入'!B277)</ns0:f>
        <ns0:v>1.9230242759604748</ns0:v>
      </ns0:c>
    </ns0:row>
    <ns0:row r="3">
      <ns0:c r="A3" s="16" t="inlineStr">
        <ns0:is>
          <ns0:t>PONY</ns0:t>
        </ns0:is>
      </ns0:c>
      <ns0:c r="B3" s="20">
        <ns0:f>'7_原始输入'!B289</ns0:f>
        <ns0:v>6.55</ns0:v>
      </ns0:c>
      <ns0:c r="C3" s="20">
        <ns0:f>'7_原始输入'!B290/1000000</ns0:f>
        <ns0:v>2845.40917825</ns0:v>
      </ns0:c>
      <ns0:c r="D3" s="20">
        <ns0:f>'7_原始输入'!B297/1000</ns0:f>
        <ns0:v>70.47</ns0:v>
      </ns0:c>
      <ns0:c r="E3" s="36">
        <ns0:f>'7_原始输入'!B299/'7_原始输入'!B297</ns0:f>
        <ns0:v>0.1690222789839648</ns0:v>
      </ns0:c>
      <ns0:c r="F3" s="20">
        <ns0:f>'7_原始输入'!B303/1000</ns0:f>
        <ns0:v>-118.215</ns0:v>
      </ns0:c>
      <ns0:c r="G3" s="20">
        <ns0:f>('7_原始输入'!B303-'7_原始输入'!B305)/1000</ns0:f>
        <ns0:v>-162.833</ns0:v>
      </ns0:c>
      <ns0:c r="H3" s="20">
        <ns0:f>'7_原始输入'!B307/1000</ns0:f>
        <ns0:v>327.111</ns0:v>
      </ns0:c>
      <ns0:c r="I3" s="20">
        <ns0:f>('7_原始输入'!B307+'7_原始输入'!B308)/1000</ns0:f>
        <ns0:v>1114.119</ns0:v>
      </ns0:c>
      <ns0:c r="J3" s="20">
        <ns0:f>I3/(-G3/'7_原始输入'!B280)</ns0:f>
        <ns0:v>41.052575337922896</ns0:v>
      </ns0:c>
      <ns0:c r="K3" s="20">
        <ns0:f>C3/('7_原始输入'!B312/1000)</ns0:f>
        <ns0:v>1.8059966831880492</ns0:v>
      </ns0:c>
    </ns0:row>
    <ns0:row r="4">
      <ns0:c r="A4" s="16" t="inlineStr">
        <ns0:is>
          <ns0:t>AUR</ns0:t>
        </ns0:is>
      </ns0:c>
      <ns0:c r="B4" s="20">
        <ns0:f>'7_原始输入'!B293</ns0:f>
        <ns0:v>6.36</ns0:v>
      </ns0:c>
      <ns0:c r="C4" s="20">
        <ns0:f>'7_原始输入'!B294/1000000</ns0:f>
        <ns0:v>12746.427504480002</ns0:v>
      </ns0:c>
      <ns0:c r="D4" s="26" t="inlineStr">
        <ns0:is>
          <ns0:t>未取财务；不可排序</ns0:t>
        </ns0:is>
      </ns0:c>
      <ns0:c r="E4" s="26" t="inlineStr">
        <ns0:is>
          <ns0:t>未取财务；不可排序</ns0:t>
        </ns0:is>
      </ns0:c>
      <ns0:c r="F4" s="26" t="inlineStr">
        <ns0:is>
          <ns0:t>未取财务；不可排序</ns0:t>
        </ns0:is>
      </ns0:c>
      <ns0:c r="G4" s="26" t="inlineStr">
        <ns0:is>
          <ns0:t>未取财务；不可排序</ns0:t>
        </ns0:is>
      </ns0:c>
      <ns0:c r="H4" s="26" t="inlineStr">
        <ns0:is>
          <ns0:t>未取财务；不可排序</ns0:t>
        </ns0:is>
      </ns0:c>
      <ns0:c r="I4" s="26" t="inlineStr">
        <ns0:is>
          <ns0:t>未取财务；不可排序</ns0:t>
        </ns0:is>
      </ns0:c>
      <ns0:c r="J4" s="26" t="inlineStr">
        <ns0:is>
          <ns0:t>未取财务；不可排序</ns0:t>
        </ns0:is>
      </ns0:c>
      <ns0:c r="K4" s="26" t="inlineStr">
        <ns0:is>
          <ns0:t>未取财务；不可排序</ns0:t>
        </ns0:is>
      </ns0:c>
    </ns0:row>
    <ns0:row r="5">
      <ns0:c r="B5" s="5" t="n"/>
      <ns0:c r="C5" s="5" t="n"/>
      <ns0:c r="D5" s="5" t="n"/>
      <ns0:c r="E5" s="5" t="n"/>
      <ns0:c r="F5" s="5" t="n"/>
      <ns0:c r="G5" s="5" t="n"/>
      <ns0:c r="H5" s="5" t="n"/>
      <ns0:c r="I5" s="5" t="n"/>
      <ns0:c r="J5" s="5" t="n"/>
      <ns0:c r="K5" s="5" t="n"/>
    </ns0:row>
    <ns0:row r="6">
      <ns0:c r="A6" s="16" t="inlineStr">
        <ns0:is>
          <ns0:t>WRD为IFRS，另加融资中租赁/利息后可支配FCF压力（USD百万）</ns0:t>
        </ns0:is>
      </ns0:c>
      <ns0:c r="B6" s="20">
        <ns0:f>('3_现金流照妖镜'!G6-'3_现金流照妖镜'!B25)/'7_原始输入'!B277</ns0:f>
        <ns0:v>-144.6619799266039</ns0:v>
      </ns0:c>
      <ns0:c r="C6" s="5" t="n"/>
      <ns0:c r="D6" s="5" t="n"/>
      <ns0:c r="E6" s="5" t="n"/>
      <ns0:c r="F6" s="5" t="n"/>
      <ns0:c r="G6" s="5" t="n"/>
      <ns0:c r="H6" s="5" t="n"/>
      <ns0:c r="I6" s="5" t="n"/>
      <ns0:c r="J6" s="5" t="n"/>
      <ns0:c r="K6" s="5" t="n"/>
    </ns0:row>
    <ns0:row r="7">
      <ns0:c r="A7" s="16" t="inlineStr">
        <ns0:is>
          <ns0:t>WRD上述支出压力跑道（月）</ns0:t>
        </ns0:is>
      </ns0:c>
      <ns0:c r="B7" s="20">
        <ns0:f>I2/(-B6/'7_原始输入'!B280)</ns0:f>
        <ns0:v>32.869240972914156</ns0:v>
      </ns0:c>
      <ns0:c r="C7" s="5" t="n"/>
      <ns0:c r="D7" s="5" t="n"/>
      <ns0:c r="E7" s="5" t="n"/>
      <ns0:c r="F7" s="5" t="n"/>
      <ns0:c r="G7" s="5" t="n"/>
      <ns0:c r="H7" s="5" t="n"/>
      <ns0:c r="I7" s="5" t="n"/>
      <ns0:c r="J7" s="5" t="n"/>
      <ns0:c r="K7" s="5" t="n"/>
    </ns0:row>
    <ns0:row r="8">
      <ns0:c r="A8" s="16" t="inlineStr">
        <ns0:is>
          <ns0:t>WRD现金等价物跑道（月）</ns0:t>
        </ns0:is>
      </ns0:c>
      <ns0:c r="B8" s="20">
        <ns0:f>H2/(-G2/'7_原始输入'!B280)</ns0:f>
        <ns0:v>26.94543174003889</ns0:v>
      </ns0:c>
      <ns0:c r="C8" s="5" t="n"/>
      <ns0:c r="D8" s="5" t="n"/>
      <ns0:c r="E8" s="5" t="n"/>
      <ns0:c r="F8" s="5" t="n"/>
      <ns0:c r="G8" s="5" t="n"/>
      <ns0:c r="H8" s="5" t="n"/>
      <ns0:c r="I8" s="5" t="n"/>
      <ns0:c r="J8" s="5" t="n"/>
      <ns0:c r="K8" s="5" t="n"/>
    </ns0:row>
    <ns0:row r="9">
      <ns0:c r="A9" s="16" t="inlineStr">
        <ns0:is>
          <ns0:t>PONY现金等价物跑道（月）</ns0:t>
        </ns0:is>
      </ns0:c>
      <ns0:c r="B9" s="17">
        <ns0:f>H3/(-G3/'7_原始输入'!B280)</ns0:f>
        <ns0:v>12.053244735403757</ns0:v>
      </ns0:c>
    </ns0:row>
    <ns0:row r="10">
      <ns0:c r="A10" s="5" t="n"/>
    </ns0:row>
    <ns0:row r="11">
      <ns0:c r="A11" s="16" t="inlineStr">
        <ns0:is>
          <ns0:t>流动性池不含受限、长期投资；短期投资与定存信用/价格风险不同，不能称完全同风险现金。</ns0:t>
        </ns0:is>
      </ns0:c>
    </ns0:row>
    <ns0:row r="12">
      <ns0:c r="A12" s="30" t="inlineStr">
        <ns0:is>
          <ns0:t>双方现金流准则及capex定义仍有边界差异；PONY capex按公司Non-GAAP，未取得完整租赁附注。</ns0:t>
        </ns0:is>
      </ns0:c>
    </ns0:row>
    <ns0:row r="13"/>
    <ns0:row r="14"/>
  </ns0:sheetData>
  <ns0:printOptions horizontalCentered="1"/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J4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8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26" customWidth="1" min="9" max="9"/>
    <ns0:col width="26" customWidth="1" min="10" max="10"/>
  </ns0:cols>
  <ns0:sheetData>
    <ns0:row r="1">
      <ns0:c r="A1" s="3" t="n"/>
    </ns0:row>
    <ns0:row r="2">
      <ns0:c r="A2" s="16" t="inlineStr">
        <ns0:is>
          <ns0:t>WRD价格USD</ns0:t>
        </ns0:is>
      </ns0:c>
      <ns0:c r="B2" s="17">
        <ns0:f>'7_原始输入'!B285</ns0:f>
        <ns0:v>5.51</ns0:v>
      </ns0:c>
    </ns0:row>
    <ns0:row r="3">
      <ns0:c r="A3" s="16" t="inlineStr">
        <ns0:is>
          <ns0:t>WRD ADS等值股份（扣库存股）</ns0:t>
        </ns0:is>
      </ns0:c>
      <ns0:c r="B3" s="17">
        <ns0:f>('7_原始输入'!B258+'7_原始输入'!B259-'7_原始输入'!B260)/'7_原始输入'!B261</ns0:f>
        <ns0:v>328956121.6666667</ns0:v>
      </ns0:c>
    </ns0:row>
    <ns0:row r="4">
      <ns0:c r="A4" s="18" t="inlineStr">
        <ns0:is>
          <ns0:t>最新归母权益/ADS USD</ns0:t>
        </ns0:is>
      </ns0:c>
      <ns0:c r="B4" s="19">
        <ns0:f>'4_资产负债偿债'!G3*1000000/'7_原始输入'!B277/B3</ns0:f>
        <ns0:v>2.8652784413258674</ns0:v>
      </ns0:c>
      <ns0:c r="C4" s="4" t="n"/>
      <ns0:c r="D4" s="4" t="n"/>
      <ns0:c r="E4" s="4" t="n"/>
      <ns0:c r="F4" s="4" t="n"/>
      <ns0:c r="G4" s="4" t="n"/>
      <ns0:c r="H4" s="4" t="n"/>
      <ns0:c r="I4" s="4" t="n"/>
      <ns0:c r="J4" s="4" t="n"/>
    </ns0:row>
    <ns0:row r="5">
      <ns0:c r="A5" s="26" t="inlineStr">
        <ns0:is>
          <ns0:t>每ADS现金USD（非底价）</ns0:t>
        </ns0:is>
      </ns0:c>
      <ns0:c r="B5" s="20">
        <ns0:f>'4_资产负债偿债'!G4*1000000/'7_原始输入'!B277/B3</ns0:f>
        <ns0:v>1.915328697623077</ns0:v>
      </ns0:c>
      <ns0:c r="C5" s="5" t="n"/>
      <ns0:c r="D5" s="5" t="n"/>
      <ns0:c r="E5" s="5" t="n"/>
      <ns0:c r="F5" s="5" t="n"/>
      <ns0:c r="G5" s="5" t="n"/>
      <ns0:c r="J5" s="5" t="n"/>
    </ns0:row>
    <ns0:row r="6">
      <ns0:c r="A6" s="26" t="inlineStr">
        <ns0:is>
          <ns0:t>每ADS流动性池USD（非底价）</ns0:t>
        </ns0:is>
      </ns0:c>
      <ns0:c r="B6" s="20">
        <ns0:f>'4_资产负债偿债'!G27*1000000/'7_原始输入'!B277/B3</ns0:f>
        <ns0:v>2.409100162931261</ns0:v>
      </ns0:c>
      <ns0:c r="C6" s="5" t="n"/>
      <ns0:c r="D6" s="5" t="n"/>
      <ns0:c r="E6" s="5" t="n"/>
      <ns0:c r="F6" s="5" t="n"/>
      <ns0:c r="G6" s="5" t="n"/>
      <ns0:c r="J6" s="5" t="n"/>
    </ns0:row>
    <ns0:row r="7">
      <ns0:c r="A7" s="26" t="inlineStr">
        <ns0:is>
          <ns0:t>TTM收入人民币百万</ns0:t>
        </ns0:is>
      </ns0:c>
      <ns0:c r="B7" s="20">
        <ns0:f>'2_利润表五年'!H2</ns0:f>
        <ns0:v>830.829</ns0:v>
      </ns0:c>
      <ns0:c r="C7" s="5" t="n"/>
      <ns0:c r="D7" s="5" t="n"/>
      <ns0:c r="E7" s="5" t="n"/>
      <ns0:c r="F7" s="5" t="n"/>
      <ns0:c r="G7" s="5" t="n"/>
      <ns0:c r="J7" s="5" t="n"/>
    </ns0:row>
    <ns0:row r="8">
      <ns0:c r="A8" s="26" t="inlineStr">
        <ns0:is>
          <ns0:t>市值USD百万</ns0:t>
        </ns0:is>
      </ns0:c>
      <ns0:c r="B8" s="20">
        <ns0:f>'7_原始输入'!B286/1000000</ns0:f>
        <ns0:v>1812.5482304017</ns0:v>
      </ns0:c>
      <ns0:c r="C8" s="5" t="n"/>
      <ns0:c r="D8" s="5" t="n"/>
      <ns0:c r="E8" s="5" t="n"/>
      <ns0:c r="F8" s="5" t="n"/>
      <ns0:c r="G8" s="5" t="n"/>
      <ns0:c r="J8" s="5" t="n"/>
    </ns0:row>
    <ns0:row r="9">
      <ns0:c r="A9" s="26" t="inlineStr">
        <ns0:is>
          <ns0:t>TTM PS</ns0:t>
        </ns0:is>
      </ns0:c>
      <ns0:c r="B9" s="20">
        <ns0:f>B8/(B7/'7_原始输入'!B277)</ns0:f>
        <ns0:v>14.802469579297997</ns0:v>
      </ns0:c>
      <ns0:c r="C9" s="5" t="n"/>
      <ns0:c r="D9" s="5" t="n"/>
      <ns0:c r="E9" s="5" t="n"/>
      <ns0:c r="F9" s="5" t="n"/>
      <ns0:c r="G9" s="5" t="n"/>
      <ns0:c r="J9" s="5" t="n"/>
    </ns0:row>
    <ns0:row r="10">
      <ns0:c r="A10" s="26" t="inlineStr">
        <ns0:is>
          <ns0:t>H1现金池/FCF 静态月数</ns0:t>
        </ns0:is>
      </ns0:c>
      <ns0:c r="B10" s="20">
        <ns0:f>'5_估值对比'!J2</ns0:f>
        <ns0:v>33.89196020283068</ns0:v>
      </ns0:c>
      <ns0:c r="C10" s="5" t="n"/>
      <ns0:c r="D10" s="5" t="n"/>
      <ns0:c r="E10" s="5" t="n"/>
      <ns0:c r="F10" s="5" t="n"/>
      <ns0:c r="G10" s="5" t="n"/>
      <ns0:c r="J10" s="5" t="n"/>
    </ns0:row>
    <ns0:row r="11">
      <ns0:c r="A11" s="26" t="inlineStr">
        <ns0:is>
          <ns0:t>TTM现金池/FCF 静态月数</ns0:t>
        </ns0:is>
      </ns0:c>
      <ns0:c r="B11" s="20">
        <ns0:f>'4_资产负债偿债'!G27/(-'3_现金流照妖镜'!I6/'7_原始输入'!B281)</ns0:f>
        <ns0:v>37.42248410894076</ns0:v>
      </ns0:c>
      <ns0:c r="C11" s="5" t="n"/>
      <ns0:c r="D11" s="5" t="n"/>
      <ns0:c r="E11" s="5" t="n"/>
      <ns0:c r="F11" s="5" t="n"/>
      <ns0:c r="G11" s="5" t="n"/>
      <ns0:c r="J11" s="5" t="n"/>
    </ns0:row>
    <ns0:row r="12">
      <ns0:c r="A12" s="26" t="inlineStr">
        <ns0:is>
          <ns0:t>FCF消耗增50%的静态月数</ns0:t>
        </ns0:is>
      </ns0:c>
      <ns0:c r="B12" s="20">
        <ns0:f>B10/'7_原始输入'!B284</ns0:f>
        <ns0:v>22.594640135220455</ns0:v>
      </ns0:c>
      <ns0:c r="C12" s="5" t="n"/>
      <ns0:c r="D12" s="5" t="n"/>
      <ns0:c r="E12" s="5" t="n"/>
      <ns0:c r="F12" s="5" t="n"/>
      <ns0:c r="G12" s="5" t="n"/>
      <ns0:c r="J12" s="5" t="n"/>
    </ns0:row>
    <ns0:row r="13">
      <ns0:c r="A13" s="26" t="inlineStr">
        <ns0:is>
          <ns0:t>回购重复一次半年节奏的静态月数</ns0:t>
        </ns0:is>
      </ns0:c>
      <ns0:c r="B13" s="20">
        <ns0:f>'4_资产负债偿债'!G27/('3_现金流照妖镜'!B26/'7_原始输入'!B280)</ns0:f>
        <ns0:v>19.361223748841034</ns0:v>
      </ns0:c>
      <ns0:c r="C13" s="5" t="n"/>
      <ns0:c r="D13" s="5" t="n"/>
      <ns0:c r="E13" s="5" t="n"/>
      <ns0:c r="F13" s="5" t="n"/>
      <ns0:c r="G13" s="5" t="n"/>
      <ns0:c r="J13" s="5" t="n"/>
    </ns0:row>
    <ns0:row r="14">
      <ns0:c r="A14" s="26" t="inlineStr">
        <ns0:is>
          <ns0:t>价格样本数</ns0:t>
        </ns0:is>
      </ns0:c>
      <ns0:c r="B14" s="20">
        <ns0:f>COUNT('8_股价日线'!B2:B474)</ns0:f>
        <ns0:v>473</ns0:v>
      </ns0:c>
      <ns0:c r="C14" s="5" t="n"/>
      <ns0:c r="D14" s="5" t="n"/>
      <ns0:c r="E14" s="5" t="n"/>
      <ns0:c r="F14" s="5" t="n"/>
      <ns0:c r="G14" s="5" t="n"/>
      <ns0:c r="J14" s="5" t="n"/>
    </ns0:row>
    <ns0:row r="15">
      <ns0:c r="A15" s="26" t="inlineStr">
        <ns0:is>
          <ns0:t>低于现价的价格数值分位</ns0:t>
        </ns0:is>
      </ns0:c>
      <ns0:c r="B15" s="36">
        <ns0:f>SUM('8_股价日线'!C2:C474)/B14</ns0:f>
        <ns0:v>0.010570824524312896</ns0:v>
      </ns0:c>
      <ns0:c r="C15" s="8" t="n"/>
      <ns0:c r="D15" s="5" t="n"/>
      <ns0:c r="E15" s="5" t="n"/>
      <ns0:c r="F15" s="5" t="n"/>
      <ns0:c r="G15" s="5" t="n"/>
      <ns0:c r="J15" s="5" t="n"/>
    </ns0:row>
    <ns0:row r="16">
      <ns0:c r="A16" s="26" t="inlineStr">
        <ns0:is>
          <ns0:t>日样本折年</ns0:t>
        </ns0:is>
      </ns0:c>
      <ns0:c r="B16" s="20">
        <ns0:f>B14/'7_原始输入'!B282</ns0:f>
        <ns0:v>1.9385245901639345</ns0:v>
      </ns0:c>
      <ns0:c r="C16" s="5" t="n"/>
      <ns0:c r="D16" s="5" t="n"/>
      <ns0:c r="E16" s="5" t="n"/>
      <ns0:c r="F16" s="5" t="n"/>
      <ns0:c r="G16" s="5" t="n"/>
      <ns0:c r="J16" s="5" t="n"/>
    </ns0:row>
    <ns0:row r="17">
      <ns0:c r="A17" s="16" t="inlineStr">
        <ns0:is>
          <ns0:t>ADS股本接口勾稽差</ns0:t>
        </ns0:is>
      </ns0:c>
      <ns0:c r="B17" s="17">
        <ns0:f>B3-'7_原始输入'!B287</ns0:f>
        <ns0:v>-0.0033333301544189453</ns0:v>
      </ns0:c>
    </ns0:row>
    <ns0:row r="18">
      <ns0:c r="A18" s="16" t="inlineStr">
        <ns0:is>
          <ns0:t>研究观察价USD</ns0:t>
        </ns0:is>
      </ns0:c>
      <ns0:c r="B18" s="17">
        <ns0:f>'7_原始输入'!B283</ns0:f>
        <ns0:v>3.3</ns0:v>
      </ns0:c>
    </ns0:row>
    <ns0:row r="19">
      <ns0:c r="A19" s="18" t="inlineStr">
        <ns0:is>
          <ns0:t>TTM贸易应收/收入</ns0:t>
        </ns0:is>
      </ns0:c>
      <ns0:c r="B19" s="37">
        <ns0:f>'4_资产负债偿债'!G9/B7</ns0:f>
        <ns0:v>0.5485665522026795</ns0:v>
      </ns0:c>
      <ns0:c r="C19" s="38" t="n"/>
      <ns0:c r="D19" s="4" t="n"/>
      <ns0:c r="E19" s="4" t="n"/>
      <ns0:c r="F19" s="4" t="n"/>
      <ns0:c r="G19" s="4" t="n"/>
      <ns0:c r="H19" s="4" t="n"/>
    </ns0:row>
    <ns0:row r="20">
      <ns0:c r="B20" s="5" t="n"/>
      <ns0:c r="C20" s="5" t="n"/>
      <ns0:c r="D20" s="5" t="n"/>
      <ns0:c r="E20" s="5" t="n"/>
      <ns0:c r="F20" s="5" t="n"/>
      <ns0:c r="G20" s="5" t="n"/>
      <ns0:c r="H20" s="5" t="n"/>
    </ns0:row>
    <ns0:row r="21">
      <ns0:c r="A21" s="16" t="inlineStr">
        <ns0:is>
          <ns0:t>十年权益PS反推（2036终点；不另加现金，非目标价/非公司指引）</ns0:t>
        </ns0:is>
      </ns0:c>
      <ns0:c r="B21" s="5" t="n"/>
      <ns0:c r="C21" s="5" t="n"/>
      <ns0:c r="D21" s="5" t="n"/>
      <ns0:c r="E21" s="5" t="n"/>
      <ns0:c r="F21" s="5" t="n"/>
      <ns0:c r="G21" s="5" t="n"/>
      <ns0:c r="H21" s="5" t="n"/>
    </ns0:row>
    <ns0:row r="22">
      <ns0:c r="A22" s="16" t="inlineStr">
        <ns0:is>
          <ns0:t>情景</ns0:t>
        </ns0:is>
      </ns0:c>
      <ns0:c r="B22" s="26" t="inlineStr">
        <ns0:is>
          <ns0:t>增速下沿</ns0:t>
        </ns0:is>
      </ns0:c>
      <ns0:c r="C22" s="26" t="inlineStr">
        <ns0:is>
          <ns0:t>增速上沿</ns0:t>
        </ns0:is>
      </ns0:c>
      <ns0:c r="D22" s="26" t="inlineStr">
        <ns0:is>
          <ns0:t>退出PS下沿</ns0:t>
        </ns0:is>
      </ns0:c>
      <ns0:c r="E22" s="26" t="inlineStr">
        <ns0:is>
          <ns0:t>退出PS上沿</ns0:t>
        </ns0:is>
      </ns0:c>
      <ns0:c r="F22" s="26" t="inlineStr">
        <ns0:is>
          <ns0:t>股数累计增幅</ns0:t>
        </ns0:is>
      </ns0:c>
      <ns0:c r="G22" s="26" t="inlineStr">
        <ns0:is>
          <ns0:t>反推价下沿USD</ns0:t>
        </ns0:is>
      </ns0:c>
      <ns0:c r="H22" s="26" t="inlineStr">
        <ns0:is>
          <ns0:t>反推价上沿USD</ns0:t>
        </ns0:is>
      </ns0:c>
    </ns0:row>
    <ns0:row r="23">
      <ns0:c r="A23" s="16" t="inlineStr">
        <ns0:is>
          <ns0:t>悲观</ns0:t>
        </ns0:is>
      </ns0:c>
      <ns0:c r="B23" s="36">
        <ns0:f>'7_原始输入'!B341</ns0:f>
        <ns0:v>0.1</ns0:v>
      </ns0:c>
      <ns0:c r="C23" s="36">
        <ns0:f>'7_原始输入'!B342</ns0:f>
        <ns0:v>0.15</ns0:v>
      </ns0:c>
      <ns0:c r="D23" s="20">
        <ns0:f>'7_原始输入'!B343</ns0:f>
        <ns0:v>1</ns0:v>
      </ns0:c>
      <ns0:c r="E23" s="20">
        <ns0:f>'7_原始输入'!B344</ns0:f>
        <ns0:v>2</ns0:v>
      </ns0:c>
      <ns0:c r="F23" s="36">
        <ns0:f>'7_原始输入'!B345</ns0:f>
        <ns0:v>0.35</ns0:v>
      </ns0:c>
      <ns0:c r="G23" s="20">
        <ns0:f>$B$7*(1+B23)^'7_原始输入'!B279*D23/'7_原始输入'!B277*1000000/($B$3*(1+F23))/(1+'7_原始输入'!B278)^'7_原始输入'!B279</ns0:f>
        <ns0:v>0.2757297665540213</ns0:v>
      </ns0:c>
      <ns0:c r="H23" s="20">
        <ns0:f>$B$7*(1+C23)^'7_原始输入'!B279*E23/'7_原始输入'!B277*1000000/($B$3*(1+F23))/(1+'7_原始输入'!B278)^'7_原始输入'!B279</ns0:f>
        <ns0:v>0.8601321890721167</ns0:v>
      </ns0:c>
    </ns0:row>
    <ns0:row r="24">
      <ns0:c r="A24" s="16" t="inlineStr">
        <ns0:is>
          <ns0:t>中性</ns0:t>
        </ns0:is>
      </ns0:c>
      <ns0:c r="B24" s="36">
        <ns0:f>'7_原始输入'!B346</ns0:f>
        <ns0:v>0.25</ns0:v>
      </ns0:c>
      <ns0:c r="C24" s="36">
        <ns0:f>'7_原始输入'!B347</ns0:f>
        <ns0:v>0.3</ns0:v>
      </ns0:c>
      <ns0:c r="D24" s="20">
        <ns0:f>'7_原始输入'!B348</ns0:f>
        <ns0:v>3</ns0:v>
      </ns0:c>
      <ns0:c r="E24" s="20">
        <ns0:f>'7_原始输入'!B349</ns0:f>
        <ns0:v>4</ns0:v>
      </ns0:c>
      <ns0:c r="F24" s="36">
        <ns0:f>'7_原始输入'!B350</ns0:f>
        <ns0:v>0.2</ns0:v>
      </ns0:c>
      <ns0:c r="G24" s="20">
        <ns0:f>$B$7*(1+B24)^'7_原始输入'!B279*D24/'7_原始输入'!B277*1000000/($B$3*(1+F24))/(1+'7_原始输入'!B278)^'7_原始输入'!B279</ns0:f>
        <ns0:v>3.3414172382950817</ns0:v>
      </ns0:c>
      <ns0:c r="H24" s="20">
        <ns0:f>$B$7*(1+C24)^'7_原始输入'!B279*E24/'7_原始输入'!B277*1000000/($B$3*(1+F24))/(1+'7_原始输入'!B278)^'7_原始输入'!B279</ns0:f>
        <ns0:v>6.594818360685244</ns0:v>
      </ns0:c>
    </ns0:row>
    <ns0:row r="25">
      <ns0:c r="A25" s="16" t="inlineStr">
        <ns0:is>
          <ns0:t>乐观</ns0:t>
        </ns0:is>
      </ns0:c>
      <ns0:c r="B25" s="39">
        <ns0:f>'7_原始输入'!B351</ns0:f>
        <ns0:v>0.35</ns0:v>
      </ns0:c>
      <ns0:c r="C25" s="39">
        <ns0:f>'7_原始输入'!B352</ns0:f>
        <ns0:v>0.4</ns0:v>
      </ns0:c>
      <ns0:c r="D25" s="40">
        <ns0:f>'7_原始输入'!B353</ns0:f>
        <ns0:v>5</ns0:v>
      </ns0:c>
      <ns0:c r="E25" s="40">
        <ns0:f>'7_原始输入'!B354</ns0:f>
        <ns0:v>6</ns0:v>
      </ns0:c>
      <ns0:c r="F25" s="39">
        <ns0:f>'7_原始输入'!B355</ns0:f>
        <ns0:v>0.1</ns0:v>
      </ns0:c>
      <ns0:c r="G25" s="17">
        <ns0:f>$B$7*(1+B25)^'7_原始输入'!B279*D25/'7_原始输入'!B277*1000000/($B$3*(1+F25))/(1+'7_原始输入'!B278)^'7_原始输入'!B279</ns0:f>
        <ns0:v>13.116125821951737</ns0:v>
      </ns0:c>
      <ns0:c r="H25" s="17">
        <ns0:f>$B$7*(1+C25)^'7_原始输入'!B279*E25/'7_原始输入'!B277*1000000/($B$3*(1+F25))/(1+'7_原始输入'!B278)^'7_原始输入'!B279</ns0:f>
        <ns0:v>22.642766711758313</ns0:v>
      </ns0:c>
    </ns0:row>
    <ns0:row r="26">
      <ns0:c r="A26" s="3" t="n"/>
    </ns0:row>
    <ns0:row r="27">
      <ns0:c r="A27" s="4" t="n"/>
      <ns0:c r="B27" s="4" t="n"/>
      <ns0:c r="C27" s="4" t="n"/>
      <ns0:c r="D27" s="4" t="n"/>
      <ns0:c r="E27" s="4" t="n"/>
      <ns0:c r="F27" s="4" t="n"/>
      <ns0:c r="G27" s="4" t="n"/>
      <ns0:c r="H27" s="4" t="n"/>
      <ns0:c r="I27" s="4" t="n"/>
      <ns0:c r="J27" s="4" t="n"/>
    </ns0:row>
    <ns0:row r="28">
      <ns0:c r="A28" s="16" t="inlineStr">
        <ns0:is>
          <ns0:t>现价在中性退出PS下沿/上沿的隐含十年收入CAGR</ns0:t>
        </ns0:is>
      </ns0:c>
      <ns0:c r="B28" s="36">
        <ns0:f>($B$2*$B$3*(1+$F$24)*(1+'7_原始输入'!B278)^'7_原始输入'!B279*'7_原始输入'!B277/1000000/($B$7*$D$24))^(1/'7_原始输入'!B279)-1</ns0:f>
        <ns0:v>0.3141111554160194</ns0:v>
      </ns0:c>
      <ns0:c r="C28" s="36">
        <ns0:f>($B$2*$B$3*(1+$F$24)*(1+'7_原始输入'!B278)^'7_原始输入'!B279*'7_原始输入'!B277/1000000/($B$7*$E$24))^(1/'7_原始输入'!B279)-1</ns0:f>
        <ns0:v>0.27684514166478014</ns0:v>
      </ns0:c>
      <ns0:c r="D28" s="5" t="n"/>
      <ns0:c r="E28" s="5" t="n"/>
      <ns0:c r="F28" s="5" t="n"/>
      <ns0:c r="G28" s="5" t="n"/>
      <ns0:c r="H28" s="5" t="n"/>
      <ns0:c r="I28" s="5" t="n"/>
      <ns0:c r="J28" s="5" t="n"/>
    </ns0:row>
    <ns0:row r="29">
      <ns0:c r="B29" s="5" t="n"/>
      <ns0:c r="C29" s="5" t="n"/>
      <ns0:c r="D29" s="5" t="n"/>
      <ns0:c r="E29" s="5" t="n"/>
      <ns0:c r="F29" s="5" t="n"/>
      <ns0:c r="G29" s="5" t="n"/>
      <ns0:c r="H29" s="5" t="n"/>
      <ns0:c r="I29" s="5" t="n"/>
      <ns0:c r="J29" s="5" t="n"/>
    </ns0:row>
    <ns0:row r="30">
      <ns0:c r="A30" s="16" t="inlineStr">
        <ns0:is>
          <ns0:t>PB档位敏感度（账面机械映射，非价值底）</ns0:t>
        </ns0:is>
      </ns0:c>
      <ns0:c r="B30" s="5" t="n"/>
      <ns0:c r="C30" s="5" t="n"/>
      <ns0:c r="D30" s="5" t="n"/>
      <ns0:c r="E30" s="5" t="n"/>
      <ns0:c r="F30" s="5" t="n"/>
      <ns0:c r="G30" s="5" t="n"/>
      <ns0:c r="H30" s="5" t="n"/>
      <ns0:c r="I30" s="5" t="n"/>
      <ns0:c r="J30" s="5" t="n"/>
    </ns0:row>
    <ns0:row r="31">
      <ns0:c r="A31" s="17">
        <ns0:f>'7_原始输入'!B356</ns0:f>
        <ns0:v>0.8</ns0:v>
      </ns0:c>
      <ns0:c r="B31" s="21">
        <ns0:f>A31*$B$4</ns0:f>
        <ns0:v>2.292222753060694</ns0:v>
      </ns0:c>
      <ns0:c r="C31" s="5" t="n"/>
      <ns0:c r="D31" s="5" t="n"/>
      <ns0:c r="E31" s="5" t="n"/>
      <ns0:c r="F31" s="5" t="n"/>
      <ns0:c r="G31" s="5" t="n"/>
      <ns0:c r="H31" s="5" t="n"/>
      <ns0:c r="I31" s="5" t="n"/>
      <ns0:c r="J31" s="5" t="n"/>
    </ns0:row>
    <ns0:row r="32">
      <ns0:c r="A32" s="17">
        <ns0:f>'7_原始输入'!B357</ns0:f>
        <ns0:v>1</ns0:v>
      </ns0:c>
      <ns0:c r="B32" s="33">
        <ns0:f>A32*$B$4</ns0:f>
        <ns0:v>2.8652784413258674</ns0:v>
      </ns0:c>
    </ns0:row>
    <ns0:row r="33">
      <ns0:c r="A33" s="17">
        <ns0:f>'7_原始输入'!B358</ns0:f>
        <ns0:v>1.5</ns0:v>
      </ns0:c>
      <ns0:c r="B33" s="33">
        <ns0:f>A33*$B$4</ns0:f>
        <ns0:v>4.2979176619888015</ns0:v>
      </ns0:c>
    </ns0:row>
    <ns0:row r="34">
      <ns0:c r="A34" s="17">
        <ns0:f>'7_原始输入'!B359</ns0:f>
        <ns0:v>2</ns0:v>
      </ns0:c>
      <ns0:c r="B34" s="33">
        <ns0:f>A34*$B$4</ns0:f>
        <ns0:v>5.730556882651735</ns0:v>
      </ns0:c>
    </ns0:row>
    <ns0:row r="35">
      <ns0:c r="A35" s="4" t="n"/>
      <ns0:c r="B35" s="4" t="n"/>
      <ns0:c r="C35" s="4" t="n"/>
      <ns0:c r="D35" s="4" t="n"/>
      <ns0:c r="E35" s="4" t="n"/>
      <ns0:c r="F35" s="4" t="n"/>
      <ns0:c r="G35" s="4" t="n"/>
      <ns0:c r="H35" s="4" t="n"/>
      <ns0:c r="I35" s="4" t="n"/>
      <ns0:c r="J35" s="4" t="n"/>
    </ns0:row>
    <ns0:row r="36">
      <ns0:c r="A36" s="26" t="inlineStr">
        <ns0:is>
          <ns0:t>期权/RSU不直接加到股本：预发行激励股份可能重叠；用20%等累计稀释假设测试，不称完全摊薄。</ns0:t>
        </ns0:is>
      </ns0:c>
      <ns0:c r="B36" s="5" t="n"/>
      <ns0:c r="C36" s="5" t="n"/>
      <ns0:c r="D36" s="5" t="n"/>
      <ns0:c r="E36" s="5" t="n"/>
      <ns0:c r="F36" s="5" t="n"/>
      <ns0:c r="J36" s="5" t="n"/>
    </ns0:row>
    <ns0:row r="37">
      <ns0:c r="A37" s="5" t="n"/>
      <ns0:c r="B37" s="5" t="n"/>
      <ns0:c r="C37" s="5" t="n"/>
      <ns0:c r="D37" s="5" t="n"/>
      <ns0:c r="E37" s="5" t="n"/>
      <ns0:c r="F37" s="5" t="n"/>
      <ns0:c r="J37" s="5" t="n"/>
    </ns0:row>
    <ns0:row r="38">
      <ns0:c r="A38" s="5" t="n"/>
      <ns0:c r="B38" s="5" t="n"/>
      <ns0:c r="C38" s="5" t="n"/>
      <ns0:c r="D38" s="5" t="n"/>
      <ns0:c r="E38" s="5" t="n"/>
      <ns0:c r="F38" s="5" t="n"/>
      <ns0:c r="J38" s="5" t="n"/>
    </ns0:row>
    <ns0:row r="39">
      <ns0:c r="A39" s="5" t="n"/>
      <ns0:c r="B39" s="5" t="n"/>
      <ns0:c r="C39" s="5" t="n"/>
      <ns0:c r="D39" s="5" t="n"/>
      <ns0:c r="E39" s="5" t="n"/>
      <ns0:c r="F39" s="5" t="n"/>
      <ns0:c r="J39" s="5" t="n"/>
    </ns0:row>
    <ns0:row r="40">
      <ns0:c r="A40" s="5" t="n"/>
      <ns0:c r="B40" s="5" t="n"/>
      <ns0:c r="C40" s="5" t="n"/>
      <ns0:c r="D40" s="5" t="n"/>
      <ns0:c r="E40" s="5" t="n"/>
      <ns0:c r="F40" s="5" t="n"/>
      <ns0:c r="J40" s="5" t="n"/>
    </ns0:row>
    <ns0:row r="41"/>
    <ns0:row r="42">
      <ns0:c r="A42" s="9" t="n"/>
    </ns0:row>
    <ns0:row r="43"/>
    <ns0:row r="44">
      <ns0:c r="A44" s="2" t="n"/>
    </ns0:row>
  </ns0:sheetData>
  <ns0:printOptions horizontalCentered="1"/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E360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0" customWidth="1" min="1" max="1"/>
    <ns0:col width="19" customWidth="1" min="2" max="2"/>
    <ns0:col width="19" customWidth="1" min="3" max="3"/>
    <ns0:col width="70" customWidth="1" min="4" max="4"/>
    <ns0:col width="65" customWidth="1" min="5" max="5"/>
  </ns0:cols>
  <ns0:sheetData>
    <ns0:row r="1">
      <ns0:c r="A1" s="15" t="inlineStr">
        <ns0:is>
          <ns0:t>采集日</ns0:t>
        </ns0:is>
      </ns0:c>
      <ns0:c r="B1" s="15" t="inlineStr">
        <ns0:is>
          <ns0:t>指标/输入单元格</ns0:t>
        </ns0:is>
      </ns0:c>
      <ns0:c r="C1" s="15" t="inlineStr">
        <ns0:is>
          <ns0:t>原值</ns0:t>
        </ns0:is>
      </ns0:c>
      <ns0:c r="D1" s="15" t="inlineStr">
        <ns0:is>
          <ns0:t>来源及页码</ns0:t>
        </ns0:is>
      </ns0:c>
      <ns0:c r="E1" s="15" t="inlineStr">
        <ns0:is>
          <ns0:t>口径</ns0:t>
        </ns0:is>
      </ns0:c>
    </ns0:row>
    <ns0:row r="2">
      <ns0:c r="A2" s="16" t="inlineStr">
        <ns0:is>
          <ns0:t>2026-09-17</ns0:t>
        </ns0:is>
      </ns0:c>
      <ns0:c r="B2" s="16" t="inlineStr">
        <ns0:is>
          <ns0:t>FY2021_收入 / 7_原始输入!B2</ns0:t>
        </ns0:is>
      </ns0:c>
      <ns0:c r="C2" s="41" t="n">
        <ns0:v>138172</ns0:v>
      </ns0:c>
      <ns0:c r="D2" s="16" t="inlineStr">
        <ns0:is>
          <ns0:t>2024_US_424B4 PDF页279/F-3；286–287/F-10–11；https://ir.weride.ai/static-files/406cbf25-bb49-4020-b913-f9cca1283c6e</ns0:t>
        </ns0:is>
      </ns0:c>
      <ns0:c r="E2" s="16" t="inlineStr">
        <ns0:is>
          <ns0:t>审计披露；单位：人民币千元</ns0:t>
        </ns0:is>
      </ns0:c>
    </ns0:row>
    <ns0:row r="3">
      <ns0:c r="A3" s="16" t="inlineStr">
        <ns0:is>
          <ns0:t>2026-09-17</ns0:t>
        </ns0:is>
      </ns0:c>
      <ns0:c r="B3" s="16" t="inlineStr">
        <ns0:is>
          <ns0:t>FY2022_收入 / 7_原始输入!B3</ns0:t>
        </ns0:is>
      </ns0:c>
      <ns0:c r="C3" s="41" t="n">
        <ns0:v>527543</ns0:v>
      </ns0:c>
      <ns0:c r="D3" s="16" t="inlineStr">
        <ns0:is>
          <ns0:t>FY2024_20F PDF页169/F-3；176–177/F-10–11；https://ir.weride.ai/static-files/72a895d1-7999-4f63-9d97-476c54e7ecab</ns0:t>
        </ns0:is>
      </ns0:c>
      <ns0:c r="E3" s="16" t="inlineStr">
        <ns0:is>
          <ns0:t>审计披露；单位：人民币千元</ns0:t>
        </ns0:is>
      </ns0:c>
    </ns0:row>
    <ns0:row r="4">
      <ns0:c r="A4" s="16" t="inlineStr">
        <ns0:is>
          <ns0:t>2026-09-17</ns0:t>
        </ns0:is>
      </ns0:c>
      <ns0:c r="B4" s="16" t="inlineStr">
        <ns0:is>
          <ns0:t>FY2023_收入 / 7_原始输入!B4</ns0:t>
        </ns0:is>
      </ns0:c>
      <ns0:c r="C4" s="41" t="n">
        <ns0:v>401844</ns0:v>
      </ns0:c>
      <ns0:c r="D4" s="16" t="inlineStr">
        <ns0:is>
          <ns0:t>FY2025_20F PDF页171/F-4；178/F-11；111/108；https://ir.weride.ai/system/files-encrypted/nasdaq_kms/assets/2026/04/23/10-08-17/20-F.pdf</ns0:t>
        </ns0:is>
      </ns0:c>
      <ns0:c r="E4" s="16" t="inlineStr">
        <ns0:is>
          <ns0:t>审计披露；单位：人民币千元</ns0:t>
        </ns0:is>
      </ns0:c>
    </ns0:row>
    <ns0:row r="5">
      <ns0:c r="A5" s="16" t="inlineStr">
        <ns0:is>
          <ns0:t>2026-09-17</ns0:t>
        </ns0:is>
      </ns0:c>
      <ns0:c r="B5" s="16" t="inlineStr">
        <ns0:is>
          <ns0:t>FY2024_收入 / 7_原始输入!B5</ns0:t>
        </ns0:is>
      </ns0:c>
      <ns0:c r="C5" s="41" t="n">
        <ns0:v>361134</ns0:v>
      </ns0:c>
      <ns0:c r="D5" s="16" t="inlineStr">
        <ns0:is>
          <ns0:t>FY2025_20F PDF页171/F-4；178/F-11；111/108；https://ir.weride.ai/system/files-encrypted/nasdaq_kms/assets/2026/04/23/10-08-17/20-F.pdf</ns0:t>
        </ns0:is>
      </ns0:c>
      <ns0:c r="E5" s="16" t="inlineStr">
        <ns0:is>
          <ns0:t>审计披露；单位：人民币千元</ns0:t>
        </ns0:is>
      </ns0:c>
    </ns0:row>
    <ns0:row r="6">
      <ns0:c r="A6" s="16" t="inlineStr">
        <ns0:is>
          <ns0:t>2026-09-17</ns0:t>
        </ns0:is>
      </ns0:c>
      <ns0:c r="B6" s="16" t="inlineStr">
        <ns0:is>
          <ns0:t>FY2025_收入 / 7_原始输入!B6</ns0:t>
        </ns0:is>
      </ns0:c>
      <ns0:c r="C6" s="41" t="n">
        <ns0:v>684587</ns0:v>
      </ns0:c>
      <ns0:c r="D6" s="16" t="inlineStr">
        <ns0:is>
          <ns0:t>FY2025_20F PDF页171/F-4；178/F-11；111/108；https://ir.weride.ai/system/files-encrypted/nasdaq_kms/assets/2026/04/23/10-08-17/20-F.pdf</ns0:t>
        </ns0:is>
      </ns0:c>
      <ns0:c r="E6" s="16" t="inlineStr">
        <ns0:is>
          <ns0:t>审计披露；单位：人民币千元</ns0:t>
        </ns0:is>
      </ns0:c>
    </ns0:row>
    <ns0:row r="7">
      <ns0:c r="A7" s="16" t="inlineStr">
        <ns0:is>
          <ns0:t>2026-09-17</ns0:t>
        </ns0:is>
      </ns0:c>
      <ns0:c r="B7" s="16" t="inlineStr">
        <ns0:is>
          <ns0:t>FY2021_产品 / 7_原始输入!B7</ns0:t>
        </ns0:is>
      </ns0:c>
      <ns0:c r="C7" s="41" t="n">
        <ns0:v>101597</ns0:v>
      </ns0:c>
      <ns0:c r="D7" s="16" t="inlineStr">
        <ns0:is>
          <ns0:t>2024_US_424B4 PDF页279/F-3；286–287/F-10–11；https://ir.weride.ai/static-files/406cbf25-bb49-4020-b913-f9cca1283c6e</ns0:t>
        </ns0:is>
      </ns0:c>
      <ns0:c r="E7" s="16" t="inlineStr">
        <ns0:is>
          <ns0:t>审计披露；单位：人民币千元</ns0:t>
        </ns0:is>
      </ns0:c>
    </ns0:row>
    <ns0:row r="8">
      <ns0:c r="A8" s="16" t="inlineStr">
        <ns0:is>
          <ns0:t>2026-09-17</ns0:t>
        </ns0:is>
      </ns0:c>
      <ns0:c r="B8" s="16" t="inlineStr">
        <ns0:is>
          <ns0:t>FY2022_产品 / 7_原始输入!B8</ns0:t>
        </ns0:is>
      </ns0:c>
      <ns0:c r="C8" s="41" t="n">
        <ns0:v>337717</ns0:v>
      </ns0:c>
      <ns0:c r="D8" s="16" t="inlineStr">
        <ns0:is>
          <ns0:t>FY2024_20F PDF页169/F-3；176–177/F-10–11；https://ir.weride.ai/static-files/72a895d1-7999-4f63-9d97-476c54e7ecab</ns0:t>
        </ns0:is>
      </ns0:c>
      <ns0:c r="E8" s="16" t="inlineStr">
        <ns0:is>
          <ns0:t>审计披露；单位：人民币千元</ns0:t>
        </ns0:is>
      </ns0:c>
    </ns0:row>
    <ns0:row r="9">
      <ns0:c r="A9" s="16" t="inlineStr">
        <ns0:is>
          <ns0:t>2026-09-17</ns0:t>
        </ns0:is>
      </ns0:c>
      <ns0:c r="B9" s="16" t="inlineStr">
        <ns0:is>
          <ns0:t>FY2023_产品 / 7_原始输入!B9</ns0:t>
        </ns0:is>
      </ns0:c>
      <ns0:c r="C9" s="41" t="n">
        <ns0:v>54190</ns0:v>
      </ns0:c>
      <ns0:c r="D9" s="16" t="inlineStr">
        <ns0:is>
          <ns0:t>FY2025_20F PDF页171/F-4；178/F-11；111/108；https://ir.weride.ai/system/files-encrypted/nasdaq_kms/assets/2026/04/23/10-08-17/20-F.pdf</ns0:t>
        </ns0:is>
      </ns0:c>
      <ns0:c r="E9" s="16" t="inlineStr">
        <ns0:is>
          <ns0:t>审计披露；单位：人民币千元</ns0:t>
        </ns0:is>
      </ns0:c>
    </ns0:row>
    <ns0:row r="10">
      <ns0:c r="A10" s="16" t="inlineStr">
        <ns0:is>
          <ns0:t>2026-09-17</ns0:t>
        </ns0:is>
      </ns0:c>
      <ns0:c r="B10" s="16" t="inlineStr">
        <ns0:is>
          <ns0:t>FY2024_产品 / 7_原始输入!B10</ns0:t>
        </ns0:is>
      </ns0:c>
      <ns0:c r="C10" s="41" t="n">
        <ns0:v>87710</ns0:v>
      </ns0:c>
      <ns0:c r="D10" s="16" t="inlineStr">
        <ns0:is>
          <ns0:t>FY2025_20F PDF页171/F-4；178/F-11；111/108；https://ir.weride.ai/system/files-encrypted/nasdaq_kms/assets/2026/04/23/10-08-17/20-F.pdf</ns0:t>
        </ns0:is>
      </ns0:c>
      <ns0:c r="E10" s="16" t="inlineStr">
        <ns0:is>
          <ns0:t>审计披露；单位：人民币千元</ns0:t>
        </ns0:is>
      </ns0:c>
    </ns0:row>
    <ns0:row r="11">
      <ns0:c r="A11" s="16" t="inlineStr">
        <ns0:is>
          <ns0:t>2026-09-17</ns0:t>
        </ns0:is>
      </ns0:c>
      <ns0:c r="B11" s="16" t="inlineStr">
        <ns0:is>
          <ns0:t>FY2025_产品 / 7_原始输入!B11</ns0:t>
        </ns0:is>
      </ns0:c>
      <ns0:c r="C11" s="41" t="n">
        <ns0:v>359843</ns0:v>
      </ns0:c>
      <ns0:c r="D11" s="16" t="inlineStr">
        <ns0:is>
          <ns0:t>FY2025_20F PDF页171/F-4；178/F-11；111/108；https://ir.weride.ai/system/files-encrypted/nasdaq_kms/assets/2026/04/23/10-08-17/20-F.pdf</ns0:t>
        </ns0:is>
      </ns0:c>
      <ns0:c r="E11" s="16" t="inlineStr">
        <ns0:is>
          <ns0:t>审计披露；单位：人民币千元</ns0:t>
        </ns0:is>
      </ns0:c>
    </ns0:row>
    <ns0:row r="12">
      <ns0:c r="A12" s="16" t="inlineStr">
        <ns0:is>
          <ns0:t>2026-09-17</ns0:t>
        </ns0:is>
      </ns0:c>
      <ns0:c r="B12" s="16" t="inlineStr">
        <ns0:is>
          <ns0:t>FY2021_服务 / 7_原始输入!B12</ns0:t>
        </ns0:is>
      </ns0:c>
      <ns0:c r="C12" s="41" t="n">
        <ns0:v>36575</ns0:v>
      </ns0:c>
      <ns0:c r="D12" s="16" t="inlineStr">
        <ns0:is>
          <ns0:t>2024_US_424B4 PDF页279/F-3；286–287/F-10–11；https://ir.weride.ai/static-files/406cbf25-bb49-4020-b913-f9cca1283c6e</ns0:t>
        </ns0:is>
      </ns0:c>
      <ns0:c r="E12" s="16" t="inlineStr">
        <ns0:is>
          <ns0:t>审计披露；单位：人民币千元</ns0:t>
        </ns0:is>
      </ns0:c>
    </ns0:row>
    <ns0:row r="13">
      <ns0:c r="A13" s="16" t="inlineStr">
        <ns0:is>
          <ns0:t>2026-09-17</ns0:t>
        </ns0:is>
      </ns0:c>
      <ns0:c r="B13" s="16" t="inlineStr">
        <ns0:is>
          <ns0:t>FY2022_服务 / 7_原始输入!B13</ns0:t>
        </ns0:is>
      </ns0:c>
      <ns0:c r="C13" s="41" t="n">
        <ns0:v>189826</ns0:v>
      </ns0:c>
      <ns0:c r="D13" s="16" t="inlineStr">
        <ns0:is>
          <ns0:t>FY2024_20F PDF页169/F-3；176–177/F-10–11；https://ir.weride.ai/static-files/72a895d1-7999-4f63-9d97-476c54e7ecab</ns0:t>
        </ns0:is>
      </ns0:c>
      <ns0:c r="E13" s="16" t="inlineStr">
        <ns0:is>
          <ns0:t>审计披露；单位：人民币千元</ns0:t>
        </ns0:is>
      </ns0:c>
    </ns0:row>
    <ns0:row r="14">
      <ns0:c r="A14" s="16" t="inlineStr">
        <ns0:is>
          <ns0:t>2026-09-17</ns0:t>
        </ns0:is>
      </ns0:c>
      <ns0:c r="B14" s="16" t="inlineStr">
        <ns0:is>
          <ns0:t>FY2023_服务 / 7_原始输入!B14</ns0:t>
        </ns0:is>
      </ns0:c>
      <ns0:c r="C14" s="41" t="n">
        <ns0:v>347654</ns0:v>
      </ns0:c>
      <ns0:c r="D14" s="16" t="inlineStr">
        <ns0:is>
          <ns0:t>FY2025_20F PDF页171/F-4；178/F-11；111/108；https://ir.weride.ai/system/files-encrypted/nasdaq_kms/assets/2026/04/23/10-08-17/20-F.pdf</ns0:t>
        </ns0:is>
      </ns0:c>
      <ns0:c r="E14" s="16" t="inlineStr">
        <ns0:is>
          <ns0:t>审计披露；单位：人民币千元</ns0:t>
        </ns0:is>
      </ns0:c>
    </ns0:row>
    <ns0:row r="15">
      <ns0:c r="A15" s="16" t="inlineStr">
        <ns0:is>
          <ns0:t>2026-09-17</ns0:t>
        </ns0:is>
      </ns0:c>
      <ns0:c r="B15" s="16" t="inlineStr">
        <ns0:is>
          <ns0:t>FY2024_服务 / 7_原始输入!B15</ns0:t>
        </ns0:is>
      </ns0:c>
      <ns0:c r="C15" s="41" t="n">
        <ns0:v>273424</ns0:v>
      </ns0:c>
      <ns0:c r="D15" s="16" t="inlineStr">
        <ns0:is>
          <ns0:t>FY2025_20F PDF页171/F-4；178/F-11；111/108；https://ir.weride.ai/system/files-encrypted/nasdaq_kms/assets/2026/04/23/10-08-17/20-F.pdf</ns0:t>
        </ns0:is>
      </ns0:c>
      <ns0:c r="E15" s="16" t="inlineStr">
        <ns0:is>
          <ns0:t>审计披露；单位：人民币千元</ns0:t>
        </ns0:is>
      </ns0:c>
    </ns0:row>
    <ns0:row r="16">
      <ns0:c r="A16" s="16" t="inlineStr">
        <ns0:is>
          <ns0:t>2026-09-17</ns0:t>
        </ns0:is>
      </ns0:c>
      <ns0:c r="B16" s="16" t="inlineStr">
        <ns0:is>
          <ns0:t>FY2025_服务 / 7_原始输入!B16</ns0:t>
        </ns0:is>
      </ns0:c>
      <ns0:c r="C16" s="41" t="n">
        <ns0:v>324744</ns0:v>
      </ns0:c>
      <ns0:c r="D16" s="16" t="inlineStr">
        <ns0:is>
          <ns0:t>FY2025_20F PDF页171/F-4；178/F-11；111/108；https://ir.weride.ai/system/files-encrypted/nasdaq_kms/assets/2026/04/23/10-08-17/20-F.pdf</ns0:t>
        </ns0:is>
      </ns0:c>
      <ns0:c r="E16" s="16" t="inlineStr">
        <ns0:is>
          <ns0:t>审计披露；单位：人民币千元</ns0:t>
        </ns0:is>
      </ns0:c>
    </ns0:row>
    <ns0:row r="17">
      <ns0:c r="A17" s="16" t="inlineStr">
        <ns0:is>
          <ns0:t>2026-09-17</ns0:t>
        </ns0:is>
      </ns0:c>
      <ns0:c r="B17" s="16" t="inlineStr">
        <ns0:is>
          <ns0:t>FY2021_毛利 / 7_原始输入!B17</ns0:t>
        </ns0:is>
      </ns0:c>
      <ns0:c r="C17" s="41" t="n">
        <ns0:v>51660</ns0:v>
      </ns0:c>
      <ns0:c r="D17" s="16" t="inlineStr">
        <ns0:is>
          <ns0:t>2024_US_424B4 PDF页279/F-3；286–287/F-10–11；https://ir.weride.ai/static-files/406cbf25-bb49-4020-b913-f9cca1283c6e</ns0:t>
        </ns0:is>
      </ns0:c>
      <ns0:c r="E17" s="16" t="inlineStr">
        <ns0:is>
          <ns0:t>审计披露；单位：人民币千元</ns0:t>
        </ns0:is>
      </ns0:c>
    </ns0:row>
    <ns0:row r="18">
      <ns0:c r="A18" s="16" t="inlineStr">
        <ns0:is>
          <ns0:t>2026-09-17</ns0:t>
        </ns0:is>
      </ns0:c>
      <ns0:c r="B18" s="16" t="inlineStr">
        <ns0:is>
          <ns0:t>FY2022_毛利 / 7_原始输入!B18</ns0:t>
        </ns0:is>
      </ns0:c>
      <ns0:c r="C18" s="41" t="n">
        <ns0:v>232545</ns0:v>
      </ns0:c>
      <ns0:c r="D18" s="16" t="inlineStr">
        <ns0:is>
          <ns0:t>FY2024_20F PDF页169/F-3；176–177/F-10–11；https://ir.weride.ai/static-files/72a895d1-7999-4f63-9d97-476c54e7ecab</ns0:t>
        </ns0:is>
      </ns0:c>
      <ns0:c r="E18" s="16" t="inlineStr">
        <ns0:is>
          <ns0:t>审计披露；单位：人民币千元</ns0:t>
        </ns0:is>
      </ns0:c>
    </ns0:row>
    <ns0:row r="19">
      <ns0:c r="A19" s="16" t="inlineStr">
        <ns0:is>
          <ns0:t>2026-09-17</ns0:t>
        </ns0:is>
      </ns0:c>
      <ns0:c r="B19" s="16" t="inlineStr">
        <ns0:is>
          <ns0:t>FY2023_毛利 / 7_原始输入!B19</ns0:t>
        </ns0:is>
      </ns0:c>
      <ns0:c r="C19" s="41" t="n">
        <ns0:v>183476</ns0:v>
      </ns0:c>
      <ns0:c r="D19" s="16" t="inlineStr">
        <ns0:is>
          <ns0:t>FY2025_20F PDF页171/F-4；178/F-11；111/108；https://ir.weride.ai/system/files-encrypted/nasdaq_kms/assets/2026/04/23/10-08-17/20-F.pdf</ns0:t>
        </ns0:is>
      </ns0:c>
      <ns0:c r="E19" s="16" t="inlineStr">
        <ns0:is>
          <ns0:t>审计披露；单位：人民币千元</ns0:t>
        </ns0:is>
      </ns0:c>
    </ns0:row>
    <ns0:row r="20">
      <ns0:c r="A20" s="16" t="inlineStr">
        <ns0:is>
          <ns0:t>2026-09-17</ns0:t>
        </ns0:is>
      </ns0:c>
      <ns0:c r="B20" s="16" t="inlineStr">
        <ns0:is>
          <ns0:t>FY2024_毛利 / 7_原始输入!B20</ns0:t>
        </ns0:is>
      </ns0:c>
      <ns0:c r="C20" s="41" t="n">
        <ns0:v>110715</ns0:v>
      </ns0:c>
      <ns0:c r="D20" s="16" t="inlineStr">
        <ns0:is>
          <ns0:t>FY2025_20F PDF页171/F-4；178/F-11；111/108；https://ir.weride.ai/system/files-encrypted/nasdaq_kms/assets/2026/04/23/10-08-17/20-F.pdf</ns0:t>
        </ns0:is>
      </ns0:c>
      <ns0:c r="E20" s="16" t="inlineStr">
        <ns0:is>
          <ns0:t>审计披露；单位：人民币千元</ns0:t>
        </ns0:is>
      </ns0:c>
    </ns0:row>
    <ns0:row r="21">
      <ns0:c r="A21" s="16" t="inlineStr">
        <ns0:is>
          <ns0:t>2026-09-17</ns0:t>
        </ns0:is>
      </ns0:c>
      <ns0:c r="B21" s="16" t="inlineStr">
        <ns0:is>
          <ns0:t>FY2025_毛利 / 7_原始输入!B21</ns0:t>
        </ns0:is>
      </ns0:c>
      <ns0:c r="C21" s="41" t="n">
        <ns0:v>206822</ns0:v>
      </ns0:c>
      <ns0:c r="D21" s="16" t="inlineStr">
        <ns0:is>
          <ns0:t>FY2025_20F PDF页171/F-4；178/F-11；111/108；https://ir.weride.ai/system/files-encrypted/nasdaq_kms/assets/2026/04/23/10-08-17/20-F.pdf</ns0:t>
        </ns0:is>
      </ns0:c>
      <ns0:c r="E21" s="16" t="inlineStr">
        <ns0:is>
          <ns0:t>审计披露；单位：人民币千元</ns0:t>
        </ns0:is>
      </ns0:c>
    </ns0:row>
    <ns0:row r="22">
      <ns0:c r="A22" s="16" t="inlineStr">
        <ns0:is>
          <ns0:t>2026-09-17</ns0:t>
        </ns0:is>
      </ns0:c>
      <ns0:c r="B22" s="16" t="inlineStr">
        <ns0:is>
          <ns0:t>FY2021_研发 / 7_原始输入!B22</ns0:t>
        </ns0:is>
      </ns0:c>
      <ns0:c r="C22" s="41" t="n">
        <ns0:v>-443178</ns0:v>
      </ns0:c>
      <ns0:c r="D22" s="16" t="inlineStr">
        <ns0:is>
          <ns0:t>2024_US_424B4 PDF页279/F-3；286–287/F-10–11；https://ir.weride.ai/static-files/406cbf25-bb49-4020-b913-f9cca1283c6e</ns0:t>
        </ns0:is>
      </ns0:c>
      <ns0:c r="E22" s="16" t="inlineStr">
        <ns0:is>
          <ns0:t>审计披露；单位：人民币千元</ns0:t>
        </ns0:is>
      </ns0:c>
    </ns0:row>
    <ns0:row r="23">
      <ns0:c r="A23" s="16" t="inlineStr">
        <ns0:is>
          <ns0:t>2026-09-17</ns0:t>
        </ns0:is>
      </ns0:c>
      <ns0:c r="B23" s="16" t="inlineStr">
        <ns0:is>
          <ns0:t>FY2022_研发 / 7_原始输入!B23</ns0:t>
        </ns0:is>
      </ns0:c>
      <ns0:c r="C23" s="41" t="n">
        <ns0:v>-758565</ns0:v>
      </ns0:c>
      <ns0:c r="D23" s="16" t="inlineStr">
        <ns0:is>
          <ns0:t>FY2024_20F PDF页169/F-3；176–177/F-10–11；https://ir.weride.ai/static-files/72a895d1-7999-4f63-9d97-476c54e7ecab</ns0:t>
        </ns0:is>
      </ns0:c>
      <ns0:c r="E23" s="16" t="inlineStr">
        <ns0:is>
          <ns0:t>审计披露；单位：人民币千元</ns0:t>
        </ns0:is>
      </ns0:c>
    </ns0:row>
    <ns0:row r="24">
      <ns0:c r="A24" s="16" t="inlineStr">
        <ns0:is>
          <ns0:t>2026-09-17</ns0:t>
        </ns0:is>
      </ns0:c>
      <ns0:c r="B24" s="16" t="inlineStr">
        <ns0:is>
          <ns0:t>FY2023_研发 / 7_原始输入!B24</ns0:t>
        </ns0:is>
      </ns0:c>
      <ns0:c r="C24" s="41" t="n">
        <ns0:v>-1058395</ns0:v>
      </ns0:c>
      <ns0:c r="D24" s="16" t="inlineStr">
        <ns0:is>
          <ns0:t>FY2025_20F PDF页171/F-4；178/F-11；111/108；https://ir.weride.ai/system/files-encrypted/nasdaq_kms/assets/2026/04/23/10-08-17/20-F.pdf</ns0:t>
        </ns0:is>
      </ns0:c>
      <ns0:c r="E24" s="16" t="inlineStr">
        <ns0:is>
          <ns0:t>审计披露；单位：人民币千元</ns0:t>
        </ns0:is>
      </ns0:c>
    </ns0:row>
    <ns0:row r="25">
      <ns0:c r="A25" s="16" t="inlineStr">
        <ns0:is>
          <ns0:t>2026-09-17</ns0:t>
        </ns0:is>
      </ns0:c>
      <ns0:c r="B25" s="16" t="inlineStr">
        <ns0:is>
          <ns0:t>FY2024_研发 / 7_原始输入!B25</ns0:t>
        </ns0:is>
      </ns0:c>
      <ns0:c r="C25" s="41" t="n">
        <ns0:v>-1091357</ns0:v>
      </ns0:c>
      <ns0:c r="D25" s="16" t="inlineStr">
        <ns0:is>
          <ns0:t>FY2025_20F PDF页171/F-4；178/F-11；111/108；https://ir.weride.ai/system/files-encrypted/nasdaq_kms/assets/2026/04/23/10-08-17/20-F.pdf</ns0:t>
        </ns0:is>
      </ns0:c>
      <ns0:c r="E25" s="16" t="inlineStr">
        <ns0:is>
          <ns0:t>审计披露；单位：人民币千元</ns0:t>
        </ns0:is>
      </ns0:c>
    </ns0:row>
    <ns0:row r="26">
      <ns0:c r="A26" s="16" t="inlineStr">
        <ns0:is>
          <ns0:t>2026-09-17</ns0:t>
        </ns0:is>
      </ns0:c>
      <ns0:c r="B26" s="16" t="inlineStr">
        <ns0:is>
          <ns0:t>FY2025_研发 / 7_原始输入!B26</ns0:t>
        </ns0:is>
      </ns0:c>
      <ns0:c r="C26" s="41" t="n">
        <ns0:v>-1372191</ns0:v>
      </ns0:c>
      <ns0:c r="D26" s="16" t="inlineStr">
        <ns0:is>
          <ns0:t>FY2025_20F PDF页171/F-4；178/F-11；111/108；https://ir.weride.ai/system/files-encrypted/nasdaq_kms/assets/2026/04/23/10-08-17/20-F.pdf</ns0:t>
        </ns0:is>
      </ns0:c>
      <ns0:c r="E26" s="16" t="inlineStr">
        <ns0:is>
          <ns0:t>审计披露；单位：人民币千元</ns0:t>
        </ns0:is>
      </ns0:c>
    </ns0:row>
    <ns0:row r="27">
      <ns0:c r="A27" s="16" t="inlineStr">
        <ns0:is>
          <ns0:t>2026-09-17</ns0:t>
        </ns0:is>
      </ns0:c>
      <ns0:c r="B27" s="16" t="inlineStr">
        <ns0:is>
          <ns0:t>FY2021_行政 / 7_原始输入!B27</ns0:t>
        </ns0:is>
      </ns0:c>
      <ns0:c r="C27" s="41" t="n">
        <ns0:v>-107119</ns0:v>
      </ns0:c>
      <ns0:c r="D27" s="16" t="inlineStr">
        <ns0:is>
          <ns0:t>2024_US_424B4 PDF页279/F-3；286–287/F-10–11；https://ir.weride.ai/static-files/406cbf25-bb49-4020-b913-f9cca1283c6e</ns0:t>
        </ns0:is>
      </ns0:c>
      <ns0:c r="E27" s="16" t="inlineStr">
        <ns0:is>
          <ns0:t>审计披露；单位：人民币千元</ns0:t>
        </ns0:is>
      </ns0:c>
    </ns0:row>
    <ns0:row r="28">
      <ns0:c r="A28" s="16" t="inlineStr">
        <ns0:is>
          <ns0:t>2026-09-17</ns0:t>
        </ns0:is>
      </ns0:c>
      <ns0:c r="B28" s="16" t="inlineStr">
        <ns0:is>
          <ns0:t>FY2022_行政 / 7_原始输入!B28</ns0:t>
        </ns0:is>
      </ns0:c>
      <ns0:c r="C28" s="41" t="n">
        <ns0:v>-237236</ns0:v>
      </ns0:c>
      <ns0:c r="D28" s="16" t="inlineStr">
        <ns0:is>
          <ns0:t>FY2024_20F PDF页169/F-3；176–177/F-10–11；https://ir.weride.ai/static-files/72a895d1-7999-4f63-9d97-476c54e7ecab</ns0:t>
        </ns0:is>
      </ns0:c>
      <ns0:c r="E28" s="16" t="inlineStr">
        <ns0:is>
          <ns0:t>审计披露；单位：人民币千元</ns0:t>
        </ns0:is>
      </ns0:c>
    </ns0:row>
    <ns0:row r="29">
      <ns0:c r="A29" s="16" t="inlineStr">
        <ns0:is>
          <ns0:t>2026-09-17</ns0:t>
        </ns0:is>
      </ns0:c>
      <ns0:c r="B29" s="16" t="inlineStr">
        <ns0:is>
          <ns0:t>FY2023_行政 / 7_原始输入!B29</ns0:t>
        </ns0:is>
      </ns0:c>
      <ns0:c r="C29" s="41" t="n">
        <ns0:v>-625369</ns0:v>
      </ns0:c>
      <ns0:c r="D29" s="16" t="inlineStr">
        <ns0:is>
          <ns0:t>FY2025_20F PDF页171/F-4；178/F-11；111/108；https://ir.weride.ai/system/files-encrypted/nasdaq_kms/assets/2026/04/23/10-08-17/20-F.pdf</ns0:t>
        </ns0:is>
      </ns0:c>
      <ns0:c r="E29" s="16" t="inlineStr">
        <ns0:is>
          <ns0:t>审计披露；单位：人民币千元</ns0:t>
        </ns0:is>
      </ns0:c>
    </ns0:row>
    <ns0:row r="30">
      <ns0:c r="A30" s="16" t="inlineStr">
        <ns0:is>
          <ns0:t>2026-09-17</ns0:t>
        </ns0:is>
      </ns0:c>
      <ns0:c r="B30" s="16" t="inlineStr">
        <ns0:is>
          <ns0:t>FY2024_行政 / 7_原始输入!B30</ns0:t>
        </ns0:is>
      </ns0:c>
      <ns0:c r="C30" s="41" t="n">
        <ns0:v>-1138802</ns0:v>
      </ns0:c>
      <ns0:c r="D30" s="16" t="inlineStr">
        <ns0:is>
          <ns0:t>FY2025_20F PDF页171/F-4；178/F-11；111/108；https://ir.weride.ai/system/files-encrypted/nasdaq_kms/assets/2026/04/23/10-08-17/20-F.pdf</ns0:t>
        </ns0:is>
      </ns0:c>
      <ns0:c r="E30" s="16" t="inlineStr">
        <ns0:is>
          <ns0:t>审计披露；单位：人民币千元</ns0:t>
        </ns0:is>
      </ns0:c>
    </ns0:row>
    <ns0:row r="31">
      <ns0:c r="A31" s="16" t="inlineStr">
        <ns0:is>
          <ns0:t>2026-09-17</ns0:t>
        </ns0:is>
      </ns0:c>
      <ns0:c r="B31" s="16" t="inlineStr">
        <ns0:is>
          <ns0:t>FY2025_行政 / 7_原始输入!B31</ns0:t>
        </ns0:is>
      </ns0:c>
      <ns0:c r="C31" s="41" t="n">
        <ns0:v>-596060</ns0:v>
      </ns0:c>
      <ns0:c r="D31" s="16" t="inlineStr">
        <ns0:is>
          <ns0:t>FY2025_20F PDF页171/F-4；178/F-11；111/108；https://ir.weride.ai/system/files-encrypted/nasdaq_kms/assets/2026/04/23/10-08-17/20-F.pdf</ns0:t>
        </ns0:is>
      </ns0:c>
      <ns0:c r="E31" s="16" t="inlineStr">
        <ns0:is>
          <ns0:t>审计披露；单位：人民币千元</ns0:t>
        </ns0:is>
      </ns0:c>
    </ns0:row>
    <ns0:row r="32">
      <ns0:c r="A32" s="16" t="inlineStr">
        <ns0:is>
          <ns0:t>2026-09-17</ns0:t>
        </ns0:is>
      </ns0:c>
      <ns0:c r="B32" s="16" t="inlineStr">
        <ns0:is>
          <ns0:t>FY2021_销售 / 7_原始输入!B32</ns0:t>
        </ns0:is>
      </ns0:c>
      <ns0:c r="C32" s="41" t="n">
        <ns0:v>-12225</ns0:v>
      </ns0:c>
      <ns0:c r="D32" s="16" t="inlineStr">
        <ns0:is>
          <ns0:t>2024_US_424B4 PDF页279/F-3；286–287/F-10–11；https://ir.weride.ai/static-files/406cbf25-bb49-4020-b913-f9cca1283c6e</ns0:t>
        </ns0:is>
      </ns0:c>
      <ns0:c r="E32" s="16" t="inlineStr">
        <ns0:is>
          <ns0:t>审计披露；单位：人民币千元</ns0:t>
        </ns0:is>
      </ns0:c>
    </ns0:row>
    <ns0:row r="33">
      <ns0:c r="A33" s="16" t="inlineStr">
        <ns0:is>
          <ns0:t>2026-09-17</ns0:t>
        </ns0:is>
      </ns0:c>
      <ns0:c r="B33" s="16" t="inlineStr">
        <ns0:is>
          <ns0:t>FY2022_销售 / 7_原始输入!B33</ns0:t>
        </ns0:is>
      </ns0:c>
      <ns0:c r="C33" s="41" t="n">
        <ns0:v>-23574</ns0:v>
      </ns0:c>
      <ns0:c r="D33" s="16" t="inlineStr">
        <ns0:is>
          <ns0:t>FY2024_20F PDF页169/F-3；176–177/F-10–11；https://ir.weride.ai/static-files/72a895d1-7999-4f63-9d97-476c54e7ecab</ns0:t>
        </ns0:is>
      </ns0:c>
      <ns0:c r="E33" s="16" t="inlineStr">
        <ns0:is>
          <ns0:t>审计披露；单位：人民币千元</ns0:t>
        </ns0:is>
      </ns0:c>
    </ns0:row>
    <ns0:row r="34">
      <ns0:c r="A34" s="16" t="inlineStr">
        <ns0:is>
          <ns0:t>2026-09-17</ns0:t>
        </ns0:is>
      </ns0:c>
      <ns0:c r="B34" s="16" t="inlineStr">
        <ns0:is>
          <ns0:t>FY2023_销售 / 7_原始输入!B34</ns0:t>
        </ns0:is>
      </ns0:c>
      <ns0:c r="C34" s="41" t="n">
        <ns0:v>-41447</ns0:v>
      </ns0:c>
      <ns0:c r="D34" s="16" t="inlineStr">
        <ns0:is>
          <ns0:t>FY2025_20F PDF页171/F-4；178/F-11；111/108；https://ir.weride.ai/system/files-encrypted/nasdaq_kms/assets/2026/04/23/10-08-17/20-F.pdf</ns0:t>
        </ns0:is>
      </ns0:c>
      <ns0:c r="E34" s="16" t="inlineStr">
        <ns0:is>
          <ns0:t>审计披露；单位：人民币千元</ns0:t>
        </ns0:is>
      </ns0:c>
    </ns0:row>
    <ns0:row r="35">
      <ns0:c r="A35" s="16" t="inlineStr">
        <ns0:is>
          <ns0:t>2026-09-17</ns0:t>
        </ns0:is>
      </ns0:c>
      <ns0:c r="B35" s="16" t="inlineStr">
        <ns0:is>
          <ns0:t>FY2024_销售 / 7_原始输入!B35</ns0:t>
        </ns0:is>
      </ns0:c>
      <ns0:c r="C35" s="41" t="n">
        <ns0:v>-53566</ns0:v>
      </ns0:c>
      <ns0:c r="D35" s="16" t="inlineStr">
        <ns0:is>
          <ns0:t>FY2025_20F PDF页171/F-4；178/F-11；111/108；https://ir.weride.ai/system/files-encrypted/nasdaq_kms/assets/2026/04/23/10-08-17/20-F.pdf</ns0:t>
        </ns0:is>
      </ns0:c>
      <ns0:c r="E35" s="16" t="inlineStr">
        <ns0:is>
          <ns0:t>审计披露；单位：人民币千元</ns0:t>
        </ns0:is>
      </ns0:c>
    </ns0:row>
    <ns0:row r="36">
      <ns0:c r="A36" s="16" t="inlineStr">
        <ns0:is>
          <ns0:t>2026-09-17</ns0:t>
        </ns0:is>
      </ns0:c>
      <ns0:c r="B36" s="16" t="inlineStr">
        <ns0:is>
          <ns0:t>FY2025_销售 / 7_原始输入!B36</ns0:t>
        </ns0:is>
      </ns0:c>
      <ns0:c r="C36" s="41" t="n">
        <ns0:v>-73628</ns0:v>
      </ns0:c>
      <ns0:c r="D36" s="16" t="inlineStr">
        <ns0:is>
          <ns0:t>FY2025_20F PDF页171/F-4；178/F-11；111/108；https://ir.weride.ai/system/files-encrypted/nasdaq_kms/assets/2026/04/23/10-08-17/20-F.pdf</ns0:t>
        </ns0:is>
      </ns0:c>
      <ns0:c r="E36" s="16" t="inlineStr">
        <ns0:is>
          <ns0:t>审计披露；单位：人民币千元</ns0:t>
        </ns0:is>
      </ns0:c>
    </ns0:row>
    <ns0:row r="37">
      <ns0:c r="A37" s="16" t="inlineStr">
        <ns0:is>
          <ns0:t>2026-09-17</ns0:t>
        </ns0:is>
      </ns0:c>
      <ns0:c r="B37" s="16" t="inlineStr">
        <ns0:is>
          <ns0:t>FY2021_经营亏损 / 7_原始输入!B37</ns0:t>
        </ns0:is>
      </ns0:c>
      <ns0:c r="C37" s="41" t="n">
        <ns0:v>-500496</ns0:v>
      </ns0:c>
      <ns0:c r="D37" s="16" t="inlineStr">
        <ns0:is>
          <ns0:t>2024_US_424B4 PDF页279/F-3；286–287/F-10–11；https://ir.weride.ai/static-files/406cbf25-bb49-4020-b913-f9cca1283c6e</ns0:t>
        </ns0:is>
      </ns0:c>
      <ns0:c r="E37" s="16" t="inlineStr">
        <ns0:is>
          <ns0:t>审计披露；单位：人民币千元</ns0:t>
        </ns0:is>
      </ns0:c>
    </ns0:row>
    <ns0:row r="38">
      <ns0:c r="A38" s="16" t="inlineStr">
        <ns0:is>
          <ns0:t>2026-09-17</ns0:t>
        </ns0:is>
      </ns0:c>
      <ns0:c r="B38" s="16" t="inlineStr">
        <ns0:is>
          <ns0:t>FY2022_经营亏损 / 7_原始输入!B38</ns0:t>
        </ns0:is>
      </ns0:c>
      <ns0:c r="C38" s="41" t="n">
        <ns0:v>-779230</ns0:v>
      </ns0:c>
      <ns0:c r="D38" s="16" t="inlineStr">
        <ns0:is>
          <ns0:t>FY2024_20F PDF页169/F-3；176–177/F-10–11；https://ir.weride.ai/static-files/72a895d1-7999-4f63-9d97-476c54e7ecab</ns0:t>
        </ns0:is>
      </ns0:c>
      <ns0:c r="E38" s="16" t="inlineStr">
        <ns0:is>
          <ns0:t>审计披露；单位：人民币千元</ns0:t>
        </ns0:is>
      </ns0:c>
    </ns0:row>
    <ns0:row r="39">
      <ns0:c r="A39" s="16" t="inlineStr">
        <ns0:is>
          <ns0:t>2026-09-17</ns0:t>
        </ns0:is>
      </ns0:c>
      <ns0:c r="B39" s="16" t="inlineStr">
        <ns0:is>
          <ns0:t>FY2023_经营亏损 / 7_原始输入!B39</ns0:t>
        </ns0:is>
      </ns0:c>
      <ns0:c r="C39" s="41" t="n">
        <ns0:v>-1566202</ns0:v>
      </ns0:c>
      <ns0:c r="D39" s="16" t="inlineStr">
        <ns0:is>
          <ns0:t>FY2025_20F PDF页171/F-4；178/F-11；111/108；https://ir.weride.ai/system/files-encrypted/nasdaq_kms/assets/2026/04/23/10-08-17/20-F.pdf</ns0:t>
        </ns0:is>
      </ns0:c>
      <ns0:c r="E39" s="16" t="inlineStr">
        <ns0:is>
          <ns0:t>审计披露；单位：人民币千元</ns0:t>
        </ns0:is>
      </ns0:c>
    </ns0:row>
    <ns0:row r="40">
      <ns0:c r="A40" s="16" t="inlineStr">
        <ns0:is>
          <ns0:t>2026-09-17</ns0:t>
        </ns0:is>
      </ns0:c>
      <ns0:c r="B40" s="16" t="inlineStr">
        <ns0:is>
          <ns0:t>FY2024_经营亏损 / 7_原始输入!B40</ns0:t>
        </ns0:is>
      </ns0:c>
      <ns0:c r="C40" s="41" t="n">
        <ns0:v>-2185183</ns0:v>
      </ns0:c>
      <ns0:c r="D40" s="16" t="inlineStr">
        <ns0:is>
          <ns0:t>FY2025_20F PDF页171/F-4；178/F-11；111/108；https://ir.weride.ai/system/files-encrypted/nasdaq_kms/assets/2026/04/23/10-08-17/20-F.pdf</ns0:t>
        </ns0:is>
      </ns0:c>
      <ns0:c r="E40" s="16" t="inlineStr">
        <ns0:is>
          <ns0:t>审计披露；单位：人民币千元</ns0:t>
        </ns0:is>
      </ns0:c>
    </ns0:row>
    <ns0:row r="41">
      <ns0:c r="A41" s="16" t="inlineStr">
        <ns0:is>
          <ns0:t>2026-09-17</ns0:t>
        </ns0:is>
      </ns0:c>
      <ns0:c r="B41" s="16" t="inlineStr">
        <ns0:is>
          <ns0:t>FY2025_经营亏损 / 7_原始输入!B41</ns0:t>
        </ns0:is>
      </ns0:c>
      <ns0:c r="C41" s="41" t="n">
        <ns0:v>-1846770</ns0:v>
      </ns0:c>
      <ns0:c r="D41" s="16" t="inlineStr">
        <ns0:is>
          <ns0:t>FY2025_20F PDF页171/F-4；178/F-11；111/108；https://ir.weride.ai/system/files-encrypted/nasdaq_kms/assets/2026/04/23/10-08-17/20-F.pdf</ns0:t>
        </ns0:is>
      </ns0:c>
      <ns0:c r="E41" s="16" t="inlineStr">
        <ns0:is>
          <ns0:t>审计披露；单位：人民币千元</ns0:t>
        </ns0:is>
      </ns0:c>
    </ns0:row>
    <ns0:row r="42">
      <ns0:c r="A42" s="16" t="inlineStr">
        <ns0:is>
          <ns0:t>2026-09-17</ns0:t>
        </ns0:is>
      </ns0:c>
      <ns0:c r="B42" s="16" t="inlineStr">
        <ns0:is>
          <ns0:t>FY2021_税前亏损 / 7_原始输入!B42</ns0:t>
        </ns0:is>
      </ns0:c>
      <ns0:c r="C42" s="41" t="n">
        <ns0:v>-1007251</ns0:v>
      </ns0:c>
      <ns0:c r="D42" s="16" t="inlineStr">
        <ns0:is>
          <ns0:t>2024_US_424B4 PDF页279/F-3；286–287/F-10–11；https://ir.weride.ai/static-files/406cbf25-bb49-4020-b913-f9cca1283c6e</ns0:t>
        </ns0:is>
      </ns0:c>
      <ns0:c r="E42" s="16" t="inlineStr">
        <ns0:is>
          <ns0:t>审计披露；单位：人民币千元</ns0:t>
        </ns0:is>
      </ns0:c>
    </ns0:row>
    <ns0:row r="43">
      <ns0:c r="A43" s="16" t="inlineStr">
        <ns0:is>
          <ns0:t>2026-09-17</ns0:t>
        </ns0:is>
      </ns0:c>
      <ns0:c r="B43" s="16" t="inlineStr">
        <ns0:is>
          <ns0:t>FY2022_税前亏损 / 7_原始输入!B43</ns0:t>
        </ns0:is>
      </ns0:c>
      <ns0:c r="C43" s="41" t="n">
        <ns0:v>-1298496</ns0:v>
      </ns0:c>
      <ns0:c r="D43" s="16" t="inlineStr">
        <ns0:is>
          <ns0:t>FY2024_20F PDF页169/F-3；176–177/F-10–11；https://ir.weride.ai/static-files/72a895d1-7999-4f63-9d97-476c54e7ecab</ns0:t>
        </ns0:is>
      </ns0:c>
      <ns0:c r="E43" s="16" t="inlineStr">
        <ns0:is>
          <ns0:t>审计披露；单位：人民币千元</ns0:t>
        </ns0:is>
      </ns0:c>
    </ns0:row>
    <ns0:row r="44">
      <ns0:c r="A44" s="16" t="inlineStr">
        <ns0:is>
          <ns0:t>2026-09-17</ns0:t>
        </ns0:is>
      </ns0:c>
      <ns0:c r="B44" s="16" t="inlineStr">
        <ns0:is>
          <ns0:t>FY2023_税前亏损 / 7_原始输入!B44</ns0:t>
        </ns0:is>
      </ns0:c>
      <ns0:c r="C44" s="41" t="n">
        <ns0:v>-1946235</ns0:v>
      </ns0:c>
      <ns0:c r="D44" s="16" t="inlineStr">
        <ns0:is>
          <ns0:t>FY2025_20F PDF页171/F-4；178/F-11；111/108；https://ir.weride.ai/system/files-encrypted/nasdaq_kms/assets/2026/04/23/10-08-17/20-F.pdf</ns0:t>
        </ns0:is>
      </ns0:c>
      <ns0:c r="E44" s="16" t="inlineStr">
        <ns0:is>
          <ns0:t>审计披露；单位：人民币千元</ns0:t>
        </ns0:is>
      </ns0:c>
    </ns0:row>
    <ns0:row r="45">
      <ns0:c r="A45" s="16" t="inlineStr">
        <ns0:is>
          <ns0:t>2026-09-17</ns0:t>
        </ns0:is>
      </ns0:c>
      <ns0:c r="B45" s="16" t="inlineStr">
        <ns0:is>
          <ns0:t>FY2024_税前亏损 / 7_原始输入!B45</ns0:t>
        </ns0:is>
      </ns0:c>
      <ns0:c r="C45" s="41" t="n">
        <ns0:v>-2510940</ns0:v>
      </ns0:c>
      <ns0:c r="D45" s="16" t="inlineStr">
        <ns0:is>
          <ns0:t>FY2025_20F PDF页171/F-4；178/F-11；111/108；https://ir.weride.ai/system/files-encrypted/nasdaq_kms/assets/2026/04/23/10-08-17/20-F.pdf</ns0:t>
        </ns0:is>
      </ns0:c>
      <ns0:c r="E45" s="16" t="inlineStr">
        <ns0:is>
          <ns0:t>审计披露；单位：人民币千元</ns0:t>
        </ns0:is>
      </ns0:c>
    </ns0:row>
    <ns0:row r="46">
      <ns0:c r="A46" s="16" t="inlineStr">
        <ns0:is>
          <ns0:t>2026-09-17</ns0:t>
        </ns0:is>
      </ns0:c>
      <ns0:c r="B46" s="16" t="inlineStr">
        <ns0:is>
          <ns0:t>FY2025_税前亏损 / 7_原始输入!B46</ns0:t>
        </ns0:is>
      </ns0:c>
      <ns0:c r="C46" s="41" t="n">
        <ns0:v>-1650800</ns0:v>
      </ns0:c>
      <ns0:c r="D46" s="16" t="inlineStr">
        <ns0:is>
          <ns0:t>FY2025_20F PDF页171/F-4；178/F-11；111/108；https://ir.weride.ai/system/files-encrypted/nasdaq_kms/assets/2026/04/23/10-08-17/20-F.pdf</ns0:t>
        </ns0:is>
      </ns0:c>
      <ns0:c r="E46" s="16" t="inlineStr">
        <ns0:is>
          <ns0:t>审计披露；单位：人民币千元</ns0:t>
        </ns0:is>
      </ns0:c>
    </ns0:row>
    <ns0:row r="47">
      <ns0:c r="A47" s="16" t="inlineStr">
        <ns0:is>
          <ns0:t>2026-09-17</ns0:t>
        </ns0:is>
      </ns0:c>
      <ns0:c r="B47" s="16" t="inlineStr">
        <ns0:is>
          <ns0:t>FY2021_归母净亏损 / 7_原始输入!B47</ns0:t>
        </ns0:is>
      </ns0:c>
      <ns0:c r="C47" s="41" t="n">
        <ns0:v>-1007251</ns0:v>
      </ns0:c>
      <ns0:c r="D47" s="16" t="inlineStr">
        <ns0:is>
          <ns0:t>2024_US_424B4 PDF页279/F-3；286–287/F-10–11；https://ir.weride.ai/static-files/406cbf25-bb49-4020-b913-f9cca1283c6e</ns0:t>
        </ns0:is>
      </ns0:c>
      <ns0:c r="E47" s="16" t="inlineStr">
        <ns0:is>
          <ns0:t>审计披露；单位：人民币千元</ns0:t>
        </ns0:is>
      </ns0:c>
    </ns0:row>
    <ns0:row r="48">
      <ns0:c r="A48" s="16" t="inlineStr">
        <ns0:is>
          <ns0:t>2026-09-17</ns0:t>
        </ns0:is>
      </ns0:c>
      <ns0:c r="B48" s="16" t="inlineStr">
        <ns0:is>
          <ns0:t>FY2022_归母净亏损 / 7_原始输入!B48</ns0:t>
        </ns0:is>
      </ns0:c>
      <ns0:c r="C48" s="41" t="n">
        <ns0:v>-1298496</ns0:v>
      </ns0:c>
      <ns0:c r="D48" s="16" t="inlineStr">
        <ns0:is>
          <ns0:t>FY2024_20F PDF页169/F-3；176–177/F-10–11；https://ir.weride.ai/static-files/72a895d1-7999-4f63-9d97-476c54e7ecab</ns0:t>
        </ns0:is>
      </ns0:c>
      <ns0:c r="E48" s="16" t="inlineStr">
        <ns0:is>
          <ns0:t>审计披露；单位：人民币千元</ns0:t>
        </ns0:is>
      </ns0:c>
    </ns0:row>
    <ns0:row r="49">
      <ns0:c r="A49" s="16" t="inlineStr">
        <ns0:is>
          <ns0:t>2026-09-17</ns0:t>
        </ns0:is>
      </ns0:c>
      <ns0:c r="B49" s="16" t="inlineStr">
        <ns0:is>
          <ns0:t>FY2023_归母净亏损 / 7_原始输入!B49</ns0:t>
        </ns0:is>
      </ns0:c>
      <ns0:c r="C49" s="41" t="n">
        <ns0:v>-1949101</ns0:v>
      </ns0:c>
      <ns0:c r="D49" s="16" t="inlineStr">
        <ns0:is>
          <ns0:t>FY2025_20F PDF页171/F-4；178/F-11；111/108；https://ir.weride.ai/system/files-encrypted/nasdaq_kms/assets/2026/04/23/10-08-17/20-F.pdf</ns0:t>
        </ns0:is>
      </ns0:c>
      <ns0:c r="E49" s="16" t="inlineStr">
        <ns0:is>
          <ns0:t>审计披露；单位：人民币千元</ns0:t>
        </ns0:is>
      </ns0:c>
    </ns0:row>
    <ns0:row r="50">
      <ns0:c r="A50" s="16" t="inlineStr">
        <ns0:is>
          <ns0:t>2026-09-17</ns0:t>
        </ns0:is>
      </ns0:c>
      <ns0:c r="B50" s="16" t="inlineStr">
        <ns0:is>
          <ns0:t>FY2024_归母净亏损 / 7_原始输入!B50</ns0:t>
        </ns0:is>
      </ns0:c>
      <ns0:c r="C50" s="41" t="n">
        <ns0:v>-2516808</ns0:v>
      </ns0:c>
      <ns0:c r="D50" s="16" t="inlineStr">
        <ns0:is>
          <ns0:t>FY2025_20F PDF页171/F-4；178/F-11；111/108；https://ir.weride.ai/system/files-encrypted/nasdaq_kms/assets/2026/04/23/10-08-17/20-F.pdf</ns0:t>
        </ns0:is>
      </ns0:c>
      <ns0:c r="E50" s="16" t="inlineStr">
        <ns0:is>
          <ns0:t>审计披露；单位：人民币千元</ns0:t>
        </ns0:is>
      </ns0:c>
    </ns0:row>
    <ns0:row r="51">
      <ns0:c r="A51" s="16" t="inlineStr">
        <ns0:is>
          <ns0:t>2026-09-17</ns0:t>
        </ns0:is>
      </ns0:c>
      <ns0:c r="B51" s="16" t="inlineStr">
        <ns0:is>
          <ns0:t>FY2025_归母净亏损 / 7_原始输入!B51</ns0:t>
        </ns0:is>
      </ns0:c>
      <ns0:c r="C51" s="41" t="n">
        <ns0:v>-1654900</ns0:v>
      </ns0:c>
      <ns0:c r="D51" s="16" t="inlineStr">
        <ns0:is>
          <ns0:t>FY2025_20F PDF页171/F-4；178/F-11；111/108；https://ir.weride.ai/system/files-encrypted/nasdaq_kms/assets/2026/04/23/10-08-17/20-F.pdf</ns0:t>
        </ns0:is>
      </ns0:c>
      <ns0:c r="E51" s="16" t="inlineStr">
        <ns0:is>
          <ns0:t>审计披露；单位：人民币千元</ns0:t>
        </ns0:is>
      </ns0:c>
    </ns0:row>
    <ns0:row r="52">
      <ns0:c r="A52" s="16" t="inlineStr">
        <ns0:is>
          <ns0:t>2026-09-17</ns0:t>
        </ns0:is>
      </ns0:c>
      <ns0:c r="B52" s="16" t="inlineStr">
        <ns0:is>
          <ns0:t>FY2021_股权支付 / 7_原始输入!B52</ns0:t>
        </ns0:is>
      </ns0:c>
      <ns0:c r="C52" s="41" t="n">
        <ns0:v>55959</ns0:v>
      </ns0:c>
      <ns0:c r="D52" s="16" t="inlineStr">
        <ns0:is>
          <ns0:t>2024_US_424B4 PDF页279/F-3；286–287/F-10–11；https://ir.weride.ai/static-files/406cbf25-bb49-4020-b913-f9cca1283c6e</ns0:t>
        </ns0:is>
      </ns0:c>
      <ns0:c r="E52" s="16" t="inlineStr">
        <ns0:is>
          <ns0:t>审计披露；单位：人民币千元</ns0:t>
        </ns0:is>
      </ns0:c>
    </ns0:row>
    <ns0:row r="53">
      <ns0:c r="A53" s="16" t="inlineStr">
        <ns0:is>
          <ns0:t>2026-09-17</ns0:t>
        </ns0:is>
      </ns0:c>
      <ns0:c r="B53" s="16" t="inlineStr">
        <ns0:is>
          <ns0:t>FY2022_股权支付 / 7_原始输入!B53</ns0:t>
        </ns0:is>
      </ns0:c>
      <ns0:c r="C53" s="41" t="n">
        <ns0:v>325429</ns0:v>
      </ns0:c>
      <ns0:c r="D53" s="16" t="inlineStr">
        <ns0:is>
          <ns0:t>FY2024_20F PDF页169/F-3；176–177/F-10–11；https://ir.weride.ai/static-files/72a895d1-7999-4f63-9d97-476c54e7ecab</ns0:t>
        </ns0:is>
      </ns0:c>
      <ns0:c r="E53" s="16" t="inlineStr">
        <ns0:is>
          <ns0:t>审计披露；单位：人民币千元</ns0:t>
        </ns0:is>
      </ns0:c>
    </ns0:row>
    <ns0:row r="54">
      <ns0:c r="A54" s="16" t="inlineStr">
        <ns0:is>
          <ns0:t>2026-09-17</ns0:t>
        </ns0:is>
      </ns0:c>
      <ns0:c r="B54" s="16" t="inlineStr">
        <ns0:is>
          <ns0:t>FY2023_股权支付 / 7_原始输入!B54</ns0:t>
        </ns0:is>
      </ns0:c>
      <ns0:c r="C54" s="41" t="n">
        <ns0:v>931784</ns0:v>
      </ns0:c>
      <ns0:c r="D54" s="16" t="inlineStr">
        <ns0:is>
          <ns0:t>FY2025_20F PDF页171/F-4；178/F-11；111/108；https://ir.weride.ai/system/files-encrypted/nasdaq_kms/assets/2026/04/23/10-08-17/20-F.pdf</ns0:t>
        </ns0:is>
      </ns0:c>
      <ns0:c r="E54" s="16" t="inlineStr">
        <ns0:is>
          <ns0:t>审计披露；单位：人民币千元</ns0:t>
        </ns0:is>
      </ns0:c>
    </ns0:row>
    <ns0:row r="55">
      <ns0:c r="A55" s="16" t="inlineStr">
        <ns0:is>
          <ns0:t>2026-09-17</ns0:t>
        </ns0:is>
      </ns0:c>
      <ns0:c r="B55" s="16" t="inlineStr">
        <ns0:is>
          <ns0:t>FY2024_股权支付 / 7_原始输入!B55</ns0:t>
        </ns0:is>
      </ns0:c>
      <ns0:c r="C55" s="41" t="n">
        <ns0:v>1187867</ns0:v>
      </ns0:c>
      <ns0:c r="D55" s="16" t="inlineStr">
        <ns0:is>
          <ns0:t>FY2025_20F PDF页171/F-4；178/F-11；111/108；https://ir.weride.ai/system/files-encrypted/nasdaq_kms/assets/2026/04/23/10-08-17/20-F.pdf</ns0:t>
        </ns0:is>
      </ns0:c>
      <ns0:c r="E55" s="16" t="inlineStr">
        <ns0:is>
          <ns0:t>审计披露；单位：人民币千元</ns0:t>
        </ns0:is>
      </ns0:c>
    </ns0:row>
    <ns0:row r="56">
      <ns0:c r="A56" s="16" t="inlineStr">
        <ns0:is>
          <ns0:t>2026-09-17</ns0:t>
        </ns0:is>
      </ns0:c>
      <ns0:c r="B56" s="16" t="inlineStr">
        <ns0:is>
          <ns0:t>FY2025_股权支付 / 7_原始输入!B56</ns0:t>
        </ns0:is>
      </ns0:c>
      <ns0:c r="C56" s="41" t="n">
        <ns0:v>449983</ns0:v>
      </ns0:c>
      <ns0:c r="D56" s="16" t="inlineStr">
        <ns0:is>
          <ns0:t>FY2025_20F PDF页171/F-4；178/F-11；111/108；https://ir.weride.ai/system/files-encrypted/nasdaq_kms/assets/2026/04/23/10-08-17/20-F.pdf</ns0:t>
        </ns0:is>
      </ns0:c>
      <ns0:c r="E56" s="16" t="inlineStr">
        <ns0:is>
          <ns0:t>审计披露；单位：人民币千元</ns0:t>
        </ns0:is>
      </ns0:c>
    </ns0:row>
    <ns0:row r="57">
      <ns0:c r="A57" s="16" t="inlineStr">
        <ns0:is>
          <ns0:t>2026-09-17</ns0:t>
        </ns0:is>
      </ns0:c>
      <ns0:c r="B57" s="16" t="inlineStr">
        <ns0:is>
          <ns0:t>FY2021_调整后亏损 / 7_原始输入!B57</ns0:t>
        </ns0:is>
      </ns0:c>
      <ns0:c r="C57" s="41" t="n">
        <ns0:v>-426757</ns0:v>
      </ns0:c>
      <ns0:c r="D57" s="16" t="inlineStr">
        <ns0:is>
          <ns0:t>2024_US_424B4 PDF页40–43/摘要Non-IFRS调节；https://ir.weride.ai/static-files/406cbf25-bb49-4020-b913-f9cca1283c6e</ns0:t>
        </ns0:is>
      </ns0:c>
      <ns0:c r="E57" s="16" t="inlineStr">
        <ns0:is>
          <ns0:t>管理层Non-IFRS；非中国扣非口径；单位：人民币千元</ns0:t>
        </ns0:is>
      </ns0:c>
    </ns0:row>
    <ns0:row r="58">
      <ns0:c r="A58" s="16" t="inlineStr">
        <ns0:is>
          <ns0:t>2026-09-17</ns0:t>
        </ns0:is>
      </ns0:c>
      <ns0:c r="B58" s="16" t="inlineStr">
        <ns0:is>
          <ns0:t>FY2022_调整后亏损 / 7_原始输入!B58</ns0:t>
        </ns0:is>
      </ns0:c>
      <ns0:c r="C58" s="41" t="n">
        <ns0:v>-401683</ns0:v>
      </ns0:c>
      <ns0:c r="D58" s="16" t="inlineStr">
        <ns0:is>
          <ns0:t>FY2024_20F PDF页169/F-3；176–177/F-10–11；https://ir.weride.ai/static-files/72a895d1-7999-4f63-9d97-476c54e7ecab</ns0:t>
        </ns0:is>
      </ns0:c>
      <ns0:c r="E58" s="16" t="inlineStr">
        <ns0:is>
          <ns0:t>管理层Non-IFRS；非中国扣非口径；单位：人民币千元</ns0:t>
        </ns0:is>
      </ns0:c>
    </ns0:row>
    <ns0:row r="59">
      <ns0:c r="A59" s="16" t="inlineStr">
        <ns0:is>
          <ns0:t>2026-09-17</ns0:t>
        </ns0:is>
      </ns0:c>
      <ns0:c r="B59" s="16" t="inlineStr">
        <ns0:is>
          <ns0:t>FY2023_调整后亏损 / 7_原始输入!B59</ns0:t>
        </ns0:is>
      </ns0:c>
      <ns0:c r="C59" s="41" t="n">
        <ns0:v>-501680</ns0:v>
      </ns0:c>
      <ns0:c r="D59" s="16" t="inlineStr">
        <ns0:is>
          <ns0:t>FY2025_20F PDF页171/F-4；178/F-11；111/108；https://ir.weride.ai/system/files-encrypted/nasdaq_kms/assets/2026/04/23/10-08-17/20-F.pdf</ns0:t>
        </ns0:is>
      </ns0:c>
      <ns0:c r="E59" s="16" t="inlineStr">
        <ns0:is>
          <ns0:t>管理层Non-IFRS；非中国扣非口径；单位：人民币千元</ns0:t>
        </ns0:is>
      </ns0:c>
    </ns0:row>
    <ns0:row r="60">
      <ns0:c r="A60" s="16" t="inlineStr">
        <ns0:is>
          <ns0:t>2026-09-17</ns0:t>
        </ns0:is>
      </ns0:c>
      <ns0:c r="B60" s="16" t="inlineStr">
        <ns0:is>
          <ns0:t>FY2024_调整后亏损 / 7_原始输入!B60</ns0:t>
        </ns0:is>
      </ns0:c>
      <ns0:c r="C60" s="41" t="n">
        <ns0:v>-801853</ns0:v>
      </ns0:c>
      <ns0:c r="D60" s="16" t="inlineStr">
        <ns0:is>
          <ns0:t>FY2025_20F PDF页171/F-4；178/F-11；111/108；https://ir.weride.ai/system/files-encrypted/nasdaq_kms/assets/2026/04/23/10-08-17/20-F.pdf</ns0:t>
        </ns0:is>
      </ns0:c>
      <ns0:c r="E60" s="16" t="inlineStr">
        <ns0:is>
          <ns0:t>管理层Non-IFRS；非中国扣非口径；单位：人民币千元</ns0:t>
        </ns0:is>
      </ns0:c>
    </ns0:row>
    <ns0:row r="61">
      <ns0:c r="A61" s="16" t="inlineStr">
        <ns0:is>
          <ns0:t>2026-09-17</ns0:t>
        </ns0:is>
      </ns0:c>
      <ns0:c r="B61" s="16" t="inlineStr">
        <ns0:is>
          <ns0:t>FY2025_调整后亏损 / 7_原始输入!B61</ns0:t>
        </ns0:is>
      </ns0:c>
      <ns0:c r="C61" s="41" t="n">
        <ns0:v>-1246739</ns0:v>
      </ns0:c>
      <ns0:c r="D61" s="16" t="inlineStr">
        <ns0:is>
          <ns0:t>FY2025_20F PDF页171/F-4；178/F-11；111/108；https://ir.weride.ai/system/files-encrypted/nasdaq_kms/assets/2026/04/23/10-08-17/20-F.pdf</ns0:t>
        </ns0:is>
      </ns0:c>
      <ns0:c r="E61" s="16" t="inlineStr">
        <ns0:is>
          <ns0:t>管理层Non-IFRS；非中国扣非口径；单位：人民币千元</ns0:t>
        </ns0:is>
      </ns0:c>
    </ns0:row>
    <ns0:row r="62">
      <ns0:c r="A62" s="16" t="inlineStr">
        <ns0:is>
          <ns0:t>2026-09-17</ns0:t>
        </ns0:is>
      </ns0:c>
      <ns0:c r="B62" s="16" t="inlineStr">
        <ns0:is>
          <ns0:t>FY2021_融资成本 / 7_原始输入!B62</ns0:t>
        </ns0:is>
      </ns0:c>
      <ns0:c r="C62" s="41" t="n">
        <ns0:v>-6917</ns0:v>
      </ns0:c>
      <ns0:c r="D62" s="16" t="inlineStr">
        <ns0:is>
          <ns0:t>2024_US_424B4 PDF页279/F-3；286–287/F-10–11；https://ir.weride.ai/static-files/406cbf25-bb49-4020-b913-f9cca1283c6e</ns0:t>
        </ns0:is>
      </ns0:c>
      <ns0:c r="E62" s="16" t="inlineStr">
        <ns0:is>
          <ns0:t>审计披露；单位：人民币千元</ns0:t>
        </ns0:is>
      </ns0:c>
    </ns0:row>
    <ns0:row r="63">
      <ns0:c r="A63" s="16" t="inlineStr">
        <ns0:is>
          <ns0:t>2026-09-17</ns0:t>
        </ns0:is>
      </ns0:c>
      <ns0:c r="B63" s="16" t="inlineStr">
        <ns0:is>
          <ns0:t>FY2022_融资成本 / 7_原始输入!B63</ns0:t>
        </ns0:is>
      </ns0:c>
      <ns0:c r="C63" s="41" t="n">
        <ns0:v>-4202</ns0:v>
      </ns0:c>
      <ns0:c r="D63" s="16" t="inlineStr">
        <ns0:is>
          <ns0:t>FY2024_20F PDF页169/F-3；176–177/F-10–11；https://ir.weride.ai/static-files/72a895d1-7999-4f63-9d97-476c54e7ecab</ns0:t>
        </ns0:is>
      </ns0:c>
      <ns0:c r="E63" s="16" t="inlineStr">
        <ns0:is>
          <ns0:t>审计披露；单位：人民币千元</ns0:t>
        </ns0:is>
      </ns0:c>
    </ns0:row>
    <ns0:row r="64">
      <ns0:c r="A64" s="16" t="inlineStr">
        <ns0:is>
          <ns0:t>2026-09-17</ns0:t>
        </ns0:is>
      </ns0:c>
      <ns0:c r="B64" s="16" t="inlineStr">
        <ns0:is>
          <ns0:t>FY2023_融资成本 / 7_原始输入!B64</ns0:t>
        </ns0:is>
      </ns0:c>
      <ns0:c r="C64" s="41" t="n">
        <ns0:v>-3490</ns0:v>
      </ns0:c>
      <ns0:c r="D64" s="16" t="inlineStr">
        <ns0:is>
          <ns0:t>FY2025_20F PDF页171/F-4；178/F-11；111/108；https://ir.weride.ai/system/files-encrypted/nasdaq_kms/assets/2026/04/23/10-08-17/20-F.pdf</ns0:t>
        </ns0:is>
      </ns0:c>
      <ns0:c r="E64" s="16" t="inlineStr">
        <ns0:is>
          <ns0:t>审计披露；单位：人民币千元</ns0:t>
        </ns0:is>
      </ns0:c>
    </ns0:row>
    <ns0:row r="65">
      <ns0:c r="A65" s="16" t="inlineStr">
        <ns0:is>
          <ns0:t>2026-09-17</ns0:t>
        </ns0:is>
      </ns0:c>
      <ns0:c r="B65" s="16" t="inlineStr">
        <ns0:is>
          <ns0:t>FY2024_融资成本 / 7_原始输入!B65</ns0:t>
        </ns0:is>
      </ns0:c>
      <ns0:c r="C65" s="41" t="n">
        <ns0:v>-3451</ns0:v>
      </ns0:c>
      <ns0:c r="D65" s="16" t="inlineStr">
        <ns0:is>
          <ns0:t>FY2025_20F PDF页171/F-4；178/F-11；111/108；https://ir.weride.ai/system/files-encrypted/nasdaq_kms/assets/2026/04/23/10-08-17/20-F.pdf</ns0:t>
        </ns0:is>
      </ns0:c>
      <ns0:c r="E65" s="16" t="inlineStr">
        <ns0:is>
          <ns0:t>审计披露；单位：人民币千元</ns0:t>
        </ns0:is>
      </ns0:c>
    </ns0:row>
    <ns0:row r="66">
      <ns0:c r="A66" s="16" t="inlineStr">
        <ns0:is>
          <ns0:t>2026-09-17</ns0:t>
        </ns0:is>
      </ns0:c>
      <ns0:c r="B66" s="16" t="inlineStr">
        <ns0:is>
          <ns0:t>FY2025_融资成本 / 7_原始输入!B66</ns0:t>
        </ns0:is>
      </ns0:c>
      <ns0:c r="C66" s="41" t="n">
        <ns0:v>-9128</ns0:v>
      </ns0:c>
      <ns0:c r="D66" s="16" t="inlineStr">
        <ns0:is>
          <ns0:t>FY2025_20F PDF页171/F-4；178/F-11；111/108；https://ir.weride.ai/system/files-encrypted/nasdaq_kms/assets/2026/04/23/10-08-17/20-F.pdf</ns0:t>
        </ns0:is>
      </ns0:c>
      <ns0:c r="E66" s="16" t="inlineStr">
        <ns0:is>
          <ns0:t>审计披露；单位：人民币千元</ns0:t>
        </ns0:is>
      </ns0:c>
    </ns0:row>
    <ns0:row r="67">
      <ns0:c r="A67" s="16" t="inlineStr">
        <ns0:is>
          <ns0:t>2026-09-17</ns0:t>
        </ns0:is>
      </ns0:c>
      <ns0:c r="B67" s="16" t="inlineStr">
        <ns0:is>
          <ns0:t>FY2021_OCF / 7_原始输入!B67</ns0:t>
        </ns0:is>
      </ns0:c>
      <ns0:c r="C67" s="41" t="n">
        <ns0:v>-506667</ns0:v>
      </ns0:c>
      <ns0:c r="D67" s="16" t="inlineStr">
        <ns0:is>
          <ns0:t>2024_US_424B4 PDF页279/F-3；286–287/F-10–11；https://ir.weride.ai/static-files/406cbf25-bb49-4020-b913-f9cca1283c6e</ns0:t>
        </ns0:is>
      </ns0:c>
      <ns0:c r="E67" s="16" t="inlineStr">
        <ns0:is>
          <ns0:t>审计披露；单位：人民币千元</ns0:t>
        </ns0:is>
      </ns0:c>
    </ns0:row>
    <ns0:row r="68">
      <ns0:c r="A68" s="16" t="inlineStr">
        <ns0:is>
          <ns0:t>2026-09-17</ns0:t>
        </ns0:is>
      </ns0:c>
      <ns0:c r="B68" s="16" t="inlineStr">
        <ns0:is>
          <ns0:t>FY2022_OCF / 7_原始输入!B68</ns0:t>
        </ns0:is>
      </ns0:c>
      <ns0:c r="C68" s="41" t="n">
        <ns0:v>-670381</ns0:v>
      </ns0:c>
      <ns0:c r="D68" s="16" t="inlineStr">
        <ns0:is>
          <ns0:t>FY2024_20F PDF页169/F-3；176–177/F-10–11；https://ir.weride.ai/static-files/72a895d1-7999-4f63-9d97-476c54e7ecab</ns0:t>
        </ns0:is>
      </ns0:c>
      <ns0:c r="E68" s="16" t="inlineStr">
        <ns0:is>
          <ns0:t>审计披露；单位：人民币千元</ns0:t>
        </ns0:is>
      </ns0:c>
    </ns0:row>
    <ns0:row r="69">
      <ns0:c r="A69" s="16" t="inlineStr">
        <ns0:is>
          <ns0:t>2026-09-17</ns0:t>
        </ns0:is>
      </ns0:c>
      <ns0:c r="B69" s="16" t="inlineStr">
        <ns0:is>
          <ns0:t>FY2023_OCF / 7_原始输入!B69</ns0:t>
        </ns0:is>
      </ns0:c>
      <ns0:c r="C69" s="41" t="n">
        <ns0:v>-474890</ns0:v>
      </ns0:c>
      <ns0:c r="D69" s="16" t="inlineStr">
        <ns0:is>
          <ns0:t>FY2025_20F PDF页171/F-4；178/F-11；111/108；https://ir.weride.ai/system/files-encrypted/nasdaq_kms/assets/2026/04/23/10-08-17/20-F.pdf</ns0:t>
        </ns0:is>
      </ns0:c>
      <ns0:c r="E69" s="16" t="inlineStr">
        <ns0:is>
          <ns0:t>审计披露；单位：人民币千元</ns0:t>
        </ns0:is>
      </ns0:c>
    </ns0:row>
    <ns0:row r="70">
      <ns0:c r="A70" s="16" t="inlineStr">
        <ns0:is>
          <ns0:t>2026-09-17</ns0:t>
        </ns0:is>
      </ns0:c>
      <ns0:c r="B70" s="16" t="inlineStr">
        <ns0:is>
          <ns0:t>FY2024_OCF / 7_原始输入!B70</ns0:t>
        </ns0:is>
      </ns0:c>
      <ns0:c r="C70" s="41" t="n">
        <ns0:v>-593595</ns0:v>
      </ns0:c>
      <ns0:c r="D70" s="16" t="inlineStr">
        <ns0:is>
          <ns0:t>FY2025_20F PDF页171/F-4；178/F-11；111/108；https://ir.weride.ai/system/files-encrypted/nasdaq_kms/assets/2026/04/23/10-08-17/20-F.pdf</ns0:t>
        </ns0:is>
      </ns0:c>
      <ns0:c r="E70" s="16" t="inlineStr">
        <ns0:is>
          <ns0:t>审计披露；单位：人民币千元</ns0:t>
        </ns0:is>
      </ns0:c>
    </ns0:row>
    <ns0:row r="71">
      <ns0:c r="A71" s="16" t="inlineStr">
        <ns0:is>
          <ns0:t>2026-09-17</ns0:t>
        </ns0:is>
      </ns0:c>
      <ns0:c r="B71" s="16" t="inlineStr">
        <ns0:is>
          <ns0:t>FY2025_OCF / 7_原始输入!B71</ns0:t>
        </ns0:is>
      </ns0:c>
      <ns0:c r="C71" s="41" t="n">
        <ns0:v>-1321734</ns0:v>
      </ns0:c>
      <ns0:c r="D71" s="16" t="inlineStr">
        <ns0:is>
          <ns0:t>FY2025_20F PDF页171/F-4；178/F-11；111/108；https://ir.weride.ai/system/files-encrypted/nasdaq_kms/assets/2026/04/23/10-08-17/20-F.pdf</ns0:t>
        </ns0:is>
      </ns0:c>
      <ns0:c r="E71" s="16" t="inlineStr">
        <ns0:is>
          <ns0:t>审计披露；单位：人民币千元</ns0:t>
        </ns0:is>
      </ns0:c>
    </ns0:row>
    <ns0:row r="72">
      <ns0:c r="A72" s="16" t="inlineStr">
        <ns0:is>
          <ns0:t>2026-09-17</ns0:t>
        </ns0:is>
      </ns0:c>
      <ns0:c r="B72" s="16" t="inlineStr">
        <ns0:is>
          <ns0:t>FY2021_固定资产购置 / 7_原始输入!B72</ns0:t>
        </ns0:is>
      </ns0:c>
      <ns0:c r="C72" s="41" t="n">
        <ns0:v>25156</ns0:v>
      </ns0:c>
      <ns0:c r="D72" s="16" t="inlineStr">
        <ns0:is>
          <ns0:t>2024_US_424B4 PDF页279/F-3；286–287/F-10–11；https://ir.weride.ai/static-files/406cbf25-bb49-4020-b913-f9cca1283c6e</ns0:t>
        </ns0:is>
      </ns0:c>
      <ns0:c r="E72" s="16" t="inlineStr">
        <ns0:is>
          <ns0:t>审计披露；单位：人民币千元</ns0:t>
        </ns0:is>
      </ns0:c>
    </ns0:row>
    <ns0:row r="73">
      <ns0:c r="A73" s="16" t="inlineStr">
        <ns0:is>
          <ns0:t>2026-09-17</ns0:t>
        </ns0:is>
      </ns0:c>
      <ns0:c r="B73" s="16" t="inlineStr">
        <ns0:is>
          <ns0:t>FY2022_固定资产购置 / 7_原始输入!B73</ns0:t>
        </ns0:is>
      </ns0:c>
      <ns0:c r="C73" s="41" t="n">
        <ns0:v>80812</ns0:v>
      </ns0:c>
      <ns0:c r="D73" s="16" t="inlineStr">
        <ns0:is>
          <ns0:t>FY2024_20F PDF页169/F-3；176–177/F-10–11；https://ir.weride.ai/static-files/72a895d1-7999-4f63-9d97-476c54e7ecab</ns0:t>
        </ns0:is>
      </ns0:c>
      <ns0:c r="E73" s="16" t="inlineStr">
        <ns0:is>
          <ns0:t>审计披露；单位：人民币千元</ns0:t>
        </ns0:is>
      </ns0:c>
    </ns0:row>
    <ns0:row r="74">
      <ns0:c r="A74" s="16" t="inlineStr">
        <ns0:is>
          <ns0:t>2026-09-17</ns0:t>
        </ns0:is>
      </ns0:c>
      <ns0:c r="B74" s="16" t="inlineStr">
        <ns0:is>
          <ns0:t>FY2023_固定资产购置 / 7_原始输入!B74</ns0:t>
        </ns0:is>
      </ns0:c>
      <ns0:c r="C74" s="41" t="n">
        <ns0:v>36650</ns0:v>
      </ns0:c>
      <ns0:c r="D74" s="16" t="inlineStr">
        <ns0:is>
          <ns0:t>FY2025_20F PDF页171/F-4；178/F-11；111/108；https://ir.weride.ai/system/files-encrypted/nasdaq_kms/assets/2026/04/23/10-08-17/20-F.pdf</ns0:t>
        </ns0:is>
      </ns0:c>
      <ns0:c r="E74" s="16" t="inlineStr">
        <ns0:is>
          <ns0:t>审计披露；单位：人民币千元</ns0:t>
        </ns0:is>
      </ns0:c>
    </ns0:row>
    <ns0:row r="75">
      <ns0:c r="A75" s="16" t="inlineStr">
        <ns0:is>
          <ns0:t>2026-09-17</ns0:t>
        </ns0:is>
      </ns0:c>
      <ns0:c r="B75" s="16" t="inlineStr">
        <ns0:is>
          <ns0:t>FY2024_固定资产购置 / 7_原始输入!B75</ns0:t>
        </ns0:is>
      </ns0:c>
      <ns0:c r="C75" s="41" t="n">
        <ns0:v>84004</ns0:v>
      </ns0:c>
      <ns0:c r="D75" s="16" t="inlineStr">
        <ns0:is>
          <ns0:t>FY2025_20F PDF页171/F-4；178/F-11；111/108；https://ir.weride.ai/system/files-encrypted/nasdaq_kms/assets/2026/04/23/10-08-17/20-F.pdf</ns0:t>
        </ns0:is>
      </ns0:c>
      <ns0:c r="E75" s="16" t="inlineStr">
        <ns0:is>
          <ns0:t>审计披露；单位：人民币千元</ns0:t>
        </ns0:is>
      </ns0:c>
    </ns0:row>
    <ns0:row r="76">
      <ns0:c r="A76" s="16" t="inlineStr">
        <ns0:is>
          <ns0:t>2026-09-17</ns0:t>
        </ns0:is>
      </ns0:c>
      <ns0:c r="B76" s="16" t="inlineStr">
        <ns0:is>
          <ns0:t>FY2025_固定资产购置 / 7_原始输入!B76</ns0:t>
        </ns0:is>
      </ns0:c>
      <ns0:c r="C76" s="41" t="n">
        <ns0:v>247598</ns0:v>
      </ns0:c>
      <ns0:c r="D76" s="16" t="inlineStr">
        <ns0:is>
          <ns0:t>FY2025_20F PDF页171/F-4；178/F-11；111/108；https://ir.weride.ai/system/files-encrypted/nasdaq_kms/assets/2026/04/23/10-08-17/20-F.pdf</ns0:t>
        </ns0:is>
      </ns0:c>
      <ns0:c r="E76" s="16" t="inlineStr">
        <ns0:is>
          <ns0:t>审计披露；单位：人民币千元</ns0:t>
        </ns0:is>
      </ns0:c>
    </ns0:row>
    <ns0:row r="77">
      <ns0:c r="A77" s="16" t="inlineStr">
        <ns0:is>
          <ns0:t>2026-09-17</ns0:t>
        </ns0:is>
      </ns0:c>
      <ns0:c r="B77" s="16" t="inlineStr">
        <ns0:is>
          <ns0:t>FY2021_无形资产购置 / 7_原始输入!B77</ns0:t>
        </ns0:is>
      </ns0:c>
      <ns0:c r="C77" s="41" t="n">
        <ns0:v>481</ns0:v>
      </ns0:c>
      <ns0:c r="D77" s="16" t="inlineStr">
        <ns0:is>
          <ns0:t>2024_US_424B4 PDF页279/F-3；286–287/F-10–11；https://ir.weride.ai/static-files/406cbf25-bb49-4020-b913-f9cca1283c6e</ns0:t>
        </ns0:is>
      </ns0:c>
      <ns0:c r="E77" s="16" t="inlineStr">
        <ns0:is>
          <ns0:t>审计披露；单位：人民币千元</ns0:t>
        </ns0:is>
      </ns0:c>
    </ns0:row>
    <ns0:row r="78">
      <ns0:c r="A78" s="16" t="inlineStr">
        <ns0:is>
          <ns0:t>2026-09-17</ns0:t>
        </ns0:is>
      </ns0:c>
      <ns0:c r="B78" s="16" t="inlineStr">
        <ns0:is>
          <ns0:t>FY2022_无形资产购置 / 7_原始输入!B78</ns0:t>
        </ns0:is>
      </ns0:c>
      <ns0:c r="C78" s="41" t="n">
        <ns0:v>1881</ns0:v>
      </ns0:c>
      <ns0:c r="D78" s="16" t="inlineStr">
        <ns0:is>
          <ns0:t>FY2024_20F PDF页169/F-3；176–177/F-10–11；https://ir.weride.ai/static-files/72a895d1-7999-4f63-9d97-476c54e7ecab</ns0:t>
        </ns0:is>
      </ns0:c>
      <ns0:c r="E78" s="16" t="inlineStr">
        <ns0:is>
          <ns0:t>审计披露；单位：人民币千元</ns0:t>
        </ns0:is>
      </ns0:c>
    </ns0:row>
    <ns0:row r="79">
      <ns0:c r="A79" s="16" t="inlineStr">
        <ns0:is>
          <ns0:t>2026-09-17</ns0:t>
        </ns0:is>
      </ns0:c>
      <ns0:c r="B79" s="16" t="inlineStr">
        <ns0:is>
          <ns0:t>FY2023_无形资产购置 / 7_原始输入!B79</ns0:t>
        </ns0:is>
      </ns0:c>
      <ns0:c r="C79" s="41" t="n">
        <ns0:v>304</ns0:v>
      </ns0:c>
      <ns0:c r="D79" s="16" t="inlineStr">
        <ns0:is>
          <ns0:t>FY2025_20F PDF页171/F-4；178/F-11；111/108；https://ir.weride.ai/system/files-encrypted/nasdaq_kms/assets/2026/04/23/10-08-17/20-F.pdf</ns0:t>
        </ns0:is>
      </ns0:c>
      <ns0:c r="E79" s="16" t="inlineStr">
        <ns0:is>
          <ns0:t>审计披露；单位：人民币千元</ns0:t>
        </ns0:is>
      </ns0:c>
    </ns0:row>
    <ns0:row r="80">
      <ns0:c r="A80" s="16" t="inlineStr">
        <ns0:is>
          <ns0:t>2026-09-17</ns0:t>
        </ns0:is>
      </ns0:c>
      <ns0:c r="B80" s="16" t="inlineStr">
        <ns0:is>
          <ns0:t>FY2024_无形资产购置 / 7_原始输入!B80</ns0:t>
        </ns0:is>
      </ns0:c>
      <ns0:c r="C80" s="41" t="n">
        <ns0:v>1504</ns0:v>
      </ns0:c>
      <ns0:c r="D80" s="16" t="inlineStr">
        <ns0:is>
          <ns0:t>FY2025_20F PDF页171/F-4；178/F-11；111/108；https://ir.weride.ai/system/files-encrypted/nasdaq_kms/assets/2026/04/23/10-08-17/20-F.pdf</ns0:t>
        </ns0:is>
      </ns0:c>
      <ns0:c r="E80" s="16" t="inlineStr">
        <ns0:is>
          <ns0:t>审计披露；单位：人民币千元</ns0:t>
        </ns0:is>
      </ns0:c>
    </ns0:row>
    <ns0:row r="81">
      <ns0:c r="A81" s="16" t="inlineStr">
        <ns0:is>
          <ns0:t>2026-09-17</ns0:t>
        </ns0:is>
      </ns0:c>
      <ns0:c r="B81" s="16" t="inlineStr">
        <ns0:is>
          <ns0:t>FY2025_无形资产购置 / 7_原始输入!B81</ns0:t>
        </ns0:is>
      </ns0:c>
      <ns0:c r="C81" s="41" t="n">
        <ns0:v>848</ns0:v>
      </ns0:c>
      <ns0:c r="D81" s="16" t="inlineStr">
        <ns0:is>
          <ns0:t>FY2025_20F PDF页171/F-4；178/F-11；111/108；https://ir.weride.ai/system/files-encrypted/nasdaq_kms/assets/2026/04/23/10-08-17/20-F.pdf</ns0:t>
        </ns0:is>
      </ns0:c>
      <ns0:c r="E81" s="16" t="inlineStr">
        <ns0:is>
          <ns0:t>审计披露；单位：人民币千元</ns0:t>
        </ns0:is>
      </ns0:c>
    </ns0:row>
    <ns0:row r="82">
      <ns0:c r="A82" s="16" t="inlineStr">
        <ns0:is>
          <ns0:t>2026-09-17</ns0:t>
        </ns0:is>
      </ns0:c>
      <ns0:c r="B82" s="16" t="inlineStr">
        <ns0:is>
          <ns0:t>FY2021_投资现金流 / 7_原始输入!B82</ns0:t>
        </ns0:is>
      </ns0:c>
      <ns0:c r="C82" s="41" t="n">
        <ns0:v>460903</ns0:v>
      </ns0:c>
      <ns0:c r="D82" s="16" t="inlineStr">
        <ns0:is>
          <ns0:t>2024_US_424B4 PDF页279/F-3；286–287/F-10–11；https://ir.weride.ai/static-files/406cbf25-bb49-4020-b913-f9cca1283c6e</ns0:t>
        </ns0:is>
      </ns0:c>
      <ns0:c r="E82" s="16" t="inlineStr">
        <ns0:is>
          <ns0:t>审计披露；单位：人民币千元</ns0:t>
        </ns0:is>
      </ns0:c>
    </ns0:row>
    <ns0:row r="83">
      <ns0:c r="A83" s="16" t="inlineStr">
        <ns0:is>
          <ns0:t>2026-09-17</ns0:t>
        </ns0:is>
      </ns0:c>
      <ns0:c r="B83" s="16" t="inlineStr">
        <ns0:is>
          <ns0:t>FY2022_投资现金流 / 7_原始输入!B83</ns0:t>
        </ns0:is>
      </ns0:c>
      <ns0:c r="C83" s="41" t="n">
        <ns0:v>-2202414</ns0:v>
      </ns0:c>
      <ns0:c r="D83" s="16" t="inlineStr">
        <ns0:is>
          <ns0:t>FY2024_20F PDF页169/F-3；176–177/F-10–11；https://ir.weride.ai/static-files/72a895d1-7999-4f63-9d97-476c54e7ecab</ns0:t>
        </ns0:is>
      </ns0:c>
      <ns0:c r="E83" s="16" t="inlineStr">
        <ns0:is>
          <ns0:t>审计披露；单位：人民币千元</ns0:t>
        </ns0:is>
      </ns0:c>
    </ns0:row>
    <ns0:row r="84">
      <ns0:c r="A84" s="16" t="inlineStr">
        <ns0:is>
          <ns0:t>2026-09-17</ns0:t>
        </ns0:is>
      </ns0:c>
      <ns0:c r="B84" s="16" t="inlineStr">
        <ns0:is>
          <ns0:t>FY2023_投资现金流 / 7_原始输入!B84</ns0:t>
        </ns0:is>
      </ns0:c>
      <ns0:c r="C84" s="41" t="n">
        <ns0:v>-546944</ns0:v>
      </ns0:c>
      <ns0:c r="D84" s="16" t="inlineStr">
        <ns0:is>
          <ns0:t>FY2025_20F PDF页171/F-4；178/F-11；111/108；https://ir.weride.ai/system/files-encrypted/nasdaq_kms/assets/2026/04/23/10-08-17/20-F.pdf</ns0:t>
        </ns0:is>
      </ns0:c>
      <ns0:c r="E84" s="16" t="inlineStr">
        <ns0:is>
          <ns0:t>审计披露；单位：人民币千元</ns0:t>
        </ns0:is>
      </ns0:c>
    </ns0:row>
    <ns0:row r="85">
      <ns0:c r="A85" s="16" t="inlineStr">
        <ns0:is>
          <ns0:t>2026-09-17</ns0:t>
        </ns0:is>
      </ns0:c>
      <ns0:c r="B85" s="16" t="inlineStr">
        <ns0:is>
          <ns0:t>FY2024_投资现金流 / 7_原始输入!B85</ns0:t>
        </ns0:is>
      </ns0:c>
      <ns0:c r="C85" s="41" t="n">
        <ns0:v>325505</ns0:v>
      </ns0:c>
      <ns0:c r="D85" s="16" t="inlineStr">
        <ns0:is>
          <ns0:t>FY2025_20F PDF页171/F-4；178/F-11；111/108；https://ir.weride.ai/system/files-encrypted/nasdaq_kms/assets/2026/04/23/10-08-17/20-F.pdf</ns0:t>
        </ns0:is>
      </ns0:c>
      <ns0:c r="E85" s="16" t="inlineStr">
        <ns0:is>
          <ns0:t>审计披露；单位：人民币千元</ns0:t>
        </ns0:is>
      </ns0:c>
    </ns0:row>
    <ns0:row r="86">
      <ns0:c r="A86" s="16" t="inlineStr">
        <ns0:is>
          <ns0:t>2026-09-17</ns0:t>
        </ns0:is>
      </ns0:c>
      <ns0:c r="B86" s="16" t="inlineStr">
        <ns0:is>
          <ns0:t>FY2025_投资现金流 / 7_原始输入!B86</ns0:t>
        </ns0:is>
      </ns0:c>
      <ns0:c r="C86" s="41" t="n">
        <ns0:v>1505881</ns0:v>
      </ns0:c>
      <ns0:c r="D86" s="16" t="inlineStr">
        <ns0:is>
          <ns0:t>FY2025_20F PDF页171/F-4；178/F-11；111/108；https://ir.weride.ai/system/files-encrypted/nasdaq_kms/assets/2026/04/23/10-08-17/20-F.pdf</ns0:t>
        </ns0:is>
      </ns0:c>
      <ns0:c r="E86" s="16" t="inlineStr">
        <ns0:is>
          <ns0:t>审计披露；单位：人民币千元</ns0:t>
        </ns0:is>
      </ns0:c>
    </ns0:row>
    <ns0:row r="87">
      <ns0:c r="A87" s="16" t="inlineStr">
        <ns0:is>
          <ns0:t>2026-09-17</ns0:t>
        </ns0:is>
      </ns0:c>
      <ns0:c r="B87" s="16" t="inlineStr">
        <ns0:is>
          <ns0:t>FY2021_融资现金流 / 7_原始输入!B87</ns0:t>
        </ns0:is>
      </ns0:c>
      <ns0:c r="C87" s="41" t="n">
        <ns0:v>2603053</ns0:v>
      </ns0:c>
      <ns0:c r="D87" s="16" t="inlineStr">
        <ns0:is>
          <ns0:t>2024_US_424B4 PDF页279/F-3；286–287/F-10–11；https://ir.weride.ai/static-files/406cbf25-bb49-4020-b913-f9cca1283c6e</ns0:t>
        </ns0:is>
      </ns0:c>
      <ns0:c r="E87" s="16" t="inlineStr">
        <ns0:is>
          <ns0:t>审计披露；单位：人民币千元</ns0:t>
        </ns0:is>
      </ns0:c>
    </ns0:row>
    <ns0:row r="88">
      <ns0:c r="A88" s="16" t="inlineStr">
        <ns0:is>
          <ns0:t>2026-09-17</ns0:t>
        </ns0:is>
      </ns0:c>
      <ns0:c r="B88" s="16" t="inlineStr">
        <ns0:is>
          <ns0:t>FY2022_融资现金流 / 7_原始输入!B88</ns0:t>
        </ns0:is>
      </ns0:c>
      <ns0:c r="C88" s="41" t="n">
        <ns0:v>2184588</ns0:v>
      </ns0:c>
      <ns0:c r="D88" s="16" t="inlineStr">
        <ns0:is>
          <ns0:t>FY2024_20F PDF页169/F-3；176–177/F-10–11；https://ir.weride.ai/static-files/72a895d1-7999-4f63-9d97-476c54e7ecab</ns0:t>
        </ns0:is>
      </ns0:c>
      <ns0:c r="E88" s="16" t="inlineStr">
        <ns0:is>
          <ns0:t>审计披露；单位：人民币千元</ns0:t>
        </ns0:is>
      </ns0:c>
    </ns0:row>
    <ns0:row r="89">
      <ns0:c r="A89" s="16" t="inlineStr">
        <ns0:is>
          <ns0:t>2026-09-17</ns0:t>
        </ns0:is>
      </ns0:c>
      <ns0:c r="B89" s="16" t="inlineStr">
        <ns0:is>
          <ns0:t>FY2023_融资现金流 / 7_原始输入!B89</ns0:t>
        </ns0:is>
      </ns0:c>
      <ns0:c r="C89" s="41" t="n">
        <ns0:v>446954</ns0:v>
      </ns0:c>
      <ns0:c r="D89" s="16" t="inlineStr">
        <ns0:is>
          <ns0:t>FY2025_20F PDF页171/F-4；178/F-11；111/108；https://ir.weride.ai/system/files-encrypted/nasdaq_kms/assets/2026/04/23/10-08-17/20-F.pdf</ns0:t>
        </ns0:is>
      </ns0:c>
      <ns0:c r="E89" s="16" t="inlineStr">
        <ns0:is>
          <ns0:t>审计披露；单位：人民币千元</ns0:t>
        </ns0:is>
      </ns0:c>
    </ns0:row>
    <ns0:row r="90">
      <ns0:c r="A90" s="16" t="inlineStr">
        <ns0:is>
          <ns0:t>2026-09-17</ns0:t>
        </ns0:is>
      </ns0:c>
      <ns0:c r="B90" s="16" t="inlineStr">
        <ns0:is>
          <ns0:t>FY2024_融资现金流 / 7_原始输入!B90</ns0:t>
        </ns0:is>
      </ns0:c>
      <ns0:c r="C90" s="41" t="n">
        <ns0:v>2823875</ns0:v>
      </ns0:c>
      <ns0:c r="D90" s="16" t="inlineStr">
        <ns0:is>
          <ns0:t>FY2025_20F PDF页171/F-4；178/F-11；111/108；https://ir.weride.ai/system/files-encrypted/nasdaq_kms/assets/2026/04/23/10-08-17/20-F.pdf</ns0:t>
        </ns0:is>
      </ns0:c>
      <ns0:c r="E90" s="16" t="inlineStr">
        <ns0:is>
          <ns0:t>审计披露；单位：人民币千元</ns0:t>
        </ns0:is>
      </ns0:c>
    </ns0:row>
    <ns0:row r="91">
      <ns0:c r="A91" s="16" t="inlineStr">
        <ns0:is>
          <ns0:t>2026-09-17</ns0:t>
        </ns0:is>
      </ns0:c>
      <ns0:c r="B91" s="16" t="inlineStr">
        <ns0:is>
          <ns0:t>FY2025_融资现金流 / 7_原始输入!B91</ns0:t>
        </ns0:is>
      </ns0:c>
      <ns0:c r="C91" s="41" t="n">
        <ns0:v>2296444</ns0:v>
      </ns0:c>
      <ns0:c r="D91" s="16" t="inlineStr">
        <ns0:is>
          <ns0:t>FY2025_20F PDF页171/F-4；178/F-11；111/108；https://ir.weride.ai/system/files-encrypted/nasdaq_kms/assets/2026/04/23/10-08-17/20-F.pdf</ns0:t>
        </ns0:is>
      </ns0:c>
      <ns0:c r="E91" s="16" t="inlineStr">
        <ns0:is>
          <ns0:t>审计披露；单位：人民币千元</ns0:t>
        </ns0:is>
      </ns0:c>
    </ns0:row>
    <ns0:row r="92">
      <ns0:c r="A92" s="16" t="inlineStr">
        <ns0:is>
          <ns0:t>2026-09-17</ns0:t>
        </ns0:is>
      </ns0:c>
      <ns0:c r="B92" s="16" t="inlineStr">
        <ns0:is>
          <ns0:t>FY2021_现金 / 7_原始输入!B92</ns0:t>
        </ns0:is>
      </ns0:c>
      <ns0:c r="C92" s="41" t="n">
        <ns0:v>2725568</ns0:v>
      </ns0:c>
      <ns0:c r="D92" s="16" t="inlineStr">
        <ns0:is>
          <ns0:t>2024_US_424B4 PDF页279/F-3；286–287/F-10–11；https://ir.weride.ai/static-files/406cbf25-bb49-4020-b913-f9cca1283c6e</ns0:t>
        </ns0:is>
      </ns0:c>
      <ns0:c r="E92" s="16" t="inlineStr">
        <ns0:is>
          <ns0:t>审计披露；单位：人民币千元</ns0:t>
        </ns0:is>
      </ns0:c>
    </ns0:row>
    <ns0:row r="93">
      <ns0:c r="A93" s="16" t="inlineStr">
        <ns0:is>
          <ns0:t>2026-09-17</ns0:t>
        </ns0:is>
      </ns0:c>
      <ns0:c r="B93" s="16" t="inlineStr">
        <ns0:is>
          <ns0:t>FY2022_现金 / 7_原始输入!B93</ns0:t>
        </ns0:is>
      </ns0:c>
      <ns0:c r="C93" s="41" t="n">
        <ns0:v>2233691</ns0:v>
      </ns0:c>
      <ns0:c r="D93" s="16" t="inlineStr">
        <ns0:is>
          <ns0:t>FY2024_20F PDF页169/F-3；176–177/F-10–11；https://ir.weride.ai/static-files/72a895d1-7999-4f63-9d97-476c54e7ecab</ns0:t>
        </ns0:is>
      </ns0:c>
      <ns0:c r="E93" s="16" t="inlineStr">
        <ns0:is>
          <ns0:t>审计披露；单位：人民币千元</ns0:t>
        </ns0:is>
      </ns0:c>
    </ns0:row>
    <ns0:row r="94">
      <ns0:c r="A94" s="16" t="inlineStr">
        <ns0:is>
          <ns0:t>2026-09-17</ns0:t>
        </ns0:is>
      </ns0:c>
      <ns0:c r="B94" s="16" t="inlineStr">
        <ns0:is>
          <ns0:t>FY2023_现金 / 7_原始输入!B94</ns0:t>
        </ns0:is>
      </ns0:c>
      <ns0:c r="C94" s="41" t="n">
        <ns0:v>1661152</ns0:v>
      </ns0:c>
      <ns0:c r="D94" s="16" t="inlineStr">
        <ns0:is>
          <ns0:t>FY2025_20F PDF页171/F-4；178/F-11；111/108；https://ir.weride.ai/system/files-encrypted/nasdaq_kms/assets/2026/04/23/10-08-17/20-F.pdf</ns0:t>
        </ns0:is>
      </ns0:c>
      <ns0:c r="E94" s="16" t="inlineStr">
        <ns0:is>
          <ns0:t>审计披露；单位：人民币千元</ns0:t>
        </ns0:is>
      </ns0:c>
    </ns0:row>
    <ns0:row r="95">
      <ns0:c r="A95" s="16" t="inlineStr">
        <ns0:is>
          <ns0:t>2026-09-17</ns0:t>
        </ns0:is>
      </ns0:c>
      <ns0:c r="B95" s="16" t="inlineStr">
        <ns0:is>
          <ns0:t>FY2024_现金 / 7_原始输入!B95</ns0:t>
        </ns0:is>
      </ns0:c>
      <ns0:c r="C95" s="41" t="n">
        <ns0:v>4268300</ns0:v>
      </ns0:c>
      <ns0:c r="D95" s="16" t="inlineStr">
        <ns0:is>
          <ns0:t>FY2025_20F PDF页171/F-4；178/F-11；111/108；https://ir.weride.ai/system/files-encrypted/nasdaq_kms/assets/2026/04/23/10-08-17/20-F.pdf</ns0:t>
        </ns0:is>
      </ns0:c>
      <ns0:c r="E95" s="16" t="inlineStr">
        <ns0:is>
          <ns0:t>审计披露；单位：人民币千元</ns0:t>
        </ns0:is>
      </ns0:c>
    </ns0:row>
    <ns0:row r="96">
      <ns0:c r="A96" s="16" t="inlineStr">
        <ns0:is>
          <ns0:t>2026-09-17</ns0:t>
        </ns0:is>
      </ns0:c>
      <ns0:c r="B96" s="16" t="inlineStr">
        <ns0:is>
          <ns0:t>FY2025_现金 / 7_原始输入!B96</ns0:t>
        </ns0:is>
      </ns0:c>
      <ns0:c r="C96" s="41" t="n">
        <ns0:v>6666304</ns0:v>
      </ns0:c>
      <ns0:c r="D96" s="16" t="inlineStr">
        <ns0:is>
          <ns0:t>FY2025_20F PDF页171/F-4；178/F-11；111/108；https://ir.weride.ai/system/files-encrypted/nasdaq_kms/assets/2026/04/23/10-08-17/20-F.pdf</ns0:t>
        </ns0:is>
      </ns0:c>
      <ns0:c r="E96" s="16" t="inlineStr">
        <ns0:is>
          <ns0:t>审计披露；单位：人民币千元</ns0:t>
        </ns0:is>
      </ns0:c>
    </ns0:row>
    <ns0:row r="97">
      <ns0:c r="A97" s="16" t="inlineStr">
        <ns0:is>
          <ns0:t>2026-09-17</ns0:t>
        </ns0:is>
      </ns0:c>
      <ns0:c r="B97" s="16" t="inlineStr">
        <ns0:is>
          <ns0:t>H12023_收入 / 7_原始输入!B97</ns0:t>
        </ns0:is>
      </ns0:c>
      <ns0:c r="C97" s="41" t="n">
        <ns0:v>182869</ns0:v>
      </ns0:c>
      <ns0:c r="D97" s="16" t="inlineStr">
        <ns0:is>
          <ns0:t>2024_US_424B4 PDF页355/F-79；361–362/F-85–86；https://ir.weride.ai/static-files/406cbf25-bb49-4020-b913-f9cca1283c6e</ns0:t>
        </ns0:is>
      </ns0:c>
      <ns0:c r="E97" s="16" t="inlineStr">
        <ns0:is>
          <ns0:t>半年披露；2024 OCF采用港股招股书后列比较数，较美招股书差378千元；单位：人民币千元</ns0:t>
        </ns0:is>
      </ns0:c>
    </ns0:row>
    <ns0:row r="98">
      <ns0:c r="A98" s="16" t="inlineStr">
        <ns0:is>
          <ns0:t>2026-09-17</ns0:t>
        </ns0:is>
      </ns0:c>
      <ns0:c r="B98" s="16" t="inlineStr">
        <ns0:is>
          <ns0:t>H12024_收入 / 7_原始输入!B98</ns0:t>
        </ns0:is>
      </ns0:c>
      <ns0:c r="C98" s="41" t="n">
        <ns0:v>150298</ns0:v>
      </ns0:c>
      <ns0:c r="D98" s="16" t="inlineStr">
        <ns0:is>
          <ns0:t>2024_US_424B4 PDF页355/F-79；361–362/F-85–86；https://ir.weride.ai/static-files/406cbf25-bb49-4020-b913-f9cca1283c6e</ns0:t>
        </ns0:is>
      </ns0:c>
      <ns0:c r="E98" s="16" t="inlineStr">
        <ns0:is>
          <ns0:t>半年披露；2024 OCF采用港股招股书后列比较数，较美招股书差378千元；单位：人民币千元</ns0:t>
        </ns0:is>
      </ns0:c>
    </ns0:row>
    <ns0:row r="99">
      <ns0:c r="A99" s="16" t="inlineStr">
        <ns0:is>
          <ns0:t>2026-09-17</ns0:t>
        </ns0:is>
      </ns0:c>
      <ns0:c r="B99" s="16" t="inlineStr">
        <ns0:is>
          <ns0:t>H12025_收入 / 7_原始输入!B99</ns0:t>
        </ns0:is>
      </ns0:c>
      <ns0:c r="C99" s="41" t="n">
        <ns0:v>199615</ns0:v>
      </ns0:c>
      <ns0:c r="D99" s="16" t="inlineStr">
        <ns0:is>
          <ns0:t>2026H1_interim PDF页47/46；53–54/52–53；https://www.hkexnews.hk/listedco/listconews/sehk/2026/0914/2026091401019.pdf</ns0:t>
        </ns0:is>
      </ns0:c>
      <ns0:c r="E99" s="16" t="inlineStr">
        <ns0:is>
          <ns0:t>半年披露；2024 OCF采用港股招股书后列比较数，较美招股书差378千元；单位：人民币千元</ns0:t>
        </ns0:is>
      </ns0:c>
    </ns0:row>
    <ns0:row r="100">
      <ns0:c r="A100" s="16" t="inlineStr">
        <ns0:is>
          <ns0:t>2026-09-17</ns0:t>
        </ns0:is>
      </ns0:c>
      <ns0:c r="B100" s="16" t="inlineStr">
        <ns0:is>
          <ns0:t>H12026_收入 / 7_原始输入!B100</ns0:t>
        </ns0:is>
      </ns0:c>
      <ns0:c r="C100" s="41" t="n">
        <ns0:v>345857</ns0:v>
      </ns0:c>
      <ns0:c r="D100" s="16" t="inlineStr">
        <ns0:is>
          <ns0:t>2026H1_interim PDF页47/46；53–54/52–53；https://www.hkexnews.hk/listedco/listconews/sehk/2026/0914/2026091401019.pdf</ns0:t>
        </ns0:is>
      </ns0:c>
      <ns0:c r="E100" s="16" t="inlineStr">
        <ns0:is>
          <ns0:t>半年披露；2024 OCF采用港股招股书后列比较数，较美招股书差378千元；单位：人民币千元</ns0:t>
        </ns0:is>
      </ns0:c>
    </ns0:row>
    <ns0:row r="101">
      <ns0:c r="A101" s="16" t="inlineStr">
        <ns0:is>
          <ns0:t>2026-09-17</ns0:t>
        </ns0:is>
      </ns0:c>
      <ns0:c r="B101" s="16" t="inlineStr">
        <ns0:is>
          <ns0:t>H12023_产品 / 7_原始输入!B101</ns0:t>
        </ns0:is>
      </ns0:c>
      <ns0:c r="C101" s="41" t="n">
        <ns0:v>18553</ns0:v>
      </ns0:c>
      <ns0:c r="D101" s="16" t="inlineStr">
        <ns0:is>
          <ns0:t>2024_US_424B4 PDF页355/F-79；361–362/F-85–86；https://ir.weride.ai/static-files/406cbf25-bb49-4020-b913-f9cca1283c6e</ns0:t>
        </ns0:is>
      </ns0:c>
      <ns0:c r="E101" s="16" t="inlineStr">
        <ns0:is>
          <ns0:t>半年披露；2024 OCF采用港股招股书后列比较数，较美招股书差378千元；单位：人民币千元</ns0:t>
        </ns0:is>
      </ns0:c>
    </ns0:row>
    <ns0:row r="102">
      <ns0:c r="A102" s="16" t="inlineStr">
        <ns0:is>
          <ns0:t>2026-09-17</ns0:t>
        </ns0:is>
      </ns0:c>
      <ns0:c r="B102" s="16" t="inlineStr">
        <ns0:is>
          <ns0:t>H12024_产品 / 7_原始输入!B102</ns0:t>
        </ns0:is>
      </ns0:c>
      <ns0:c r="C102" s="41" t="n">
        <ns0:v>21045</ns0:v>
      </ns0:c>
      <ns0:c r="D102" s="16" t="inlineStr">
        <ns0:is>
          <ns0:t>2024_US_424B4 PDF页355/F-79；361–362/F-85–86；https://ir.weride.ai/static-files/406cbf25-bb49-4020-b913-f9cca1283c6e</ns0:t>
        </ns0:is>
      </ns0:c>
      <ns0:c r="E102" s="16" t="inlineStr">
        <ns0:is>
          <ns0:t>半年披露；2024 OCF采用港股招股书后列比较数，较美招股书差378千元；单位：人民币千元</ns0:t>
        </ns0:is>
      </ns0:c>
    </ns0:row>
    <ns0:row r="103">
      <ns0:c r="A103" s="16" t="inlineStr">
        <ns0:is>
          <ns0:t>2026-09-17</ns0:t>
        </ns0:is>
      </ns0:c>
      <ns0:c r="B103" s="16" t="inlineStr">
        <ns0:is>
          <ns0:t>H12025_产品 / 7_原始输入!B103</ns0:t>
        </ns0:is>
      </ns0:c>
      <ns0:c r="C103" s="41" t="n">
        <ns0:v>69281</ns0:v>
      </ns0:c>
      <ns0:c r="D103" s="16" t="inlineStr">
        <ns0:is>
          <ns0:t>2026H1_interim PDF页47/46；53–54/52–53；https://www.hkexnews.hk/listedco/listconews/sehk/2026/0914/2026091401019.pdf</ns0:t>
        </ns0:is>
      </ns0:c>
      <ns0:c r="E103" s="16" t="inlineStr">
        <ns0:is>
          <ns0:t>半年披露；2024 OCF采用港股招股书后列比较数，较美招股书差378千元；单位：人民币千元</ns0:t>
        </ns0:is>
      </ns0:c>
    </ns0:row>
    <ns0:row r="104">
      <ns0:c r="A104" s="16" t="inlineStr">
        <ns0:is>
          <ns0:t>2026-09-17</ns0:t>
        </ns0:is>
      </ns0:c>
      <ns0:c r="B104" s="16" t="inlineStr">
        <ns0:is>
          <ns0:t>H12026_产品 / 7_原始输入!B104</ns0:t>
        </ns0:is>
      </ns0:c>
      <ns0:c r="C104" s="41" t="n">
        <ns0:v>112783</ns0:v>
      </ns0:c>
      <ns0:c r="D104" s="16" t="inlineStr">
        <ns0:is>
          <ns0:t>2026H1_interim PDF页47/46；53–54/52–53；https://www.hkexnews.hk/listedco/listconews/sehk/2026/0914/2026091401019.pdf</ns0:t>
        </ns0:is>
      </ns0:c>
      <ns0:c r="E104" s="16" t="inlineStr">
        <ns0:is>
          <ns0:t>半年披露；2024 OCF采用港股招股书后列比较数，较美招股书差378千元；单位：人民币千元</ns0:t>
        </ns0:is>
      </ns0:c>
    </ns0:row>
    <ns0:row r="105">
      <ns0:c r="A105" s="16" t="inlineStr">
        <ns0:is>
          <ns0:t>2026-09-17</ns0:t>
        </ns0:is>
      </ns0:c>
      <ns0:c r="B105" s="16" t="inlineStr">
        <ns0:is>
          <ns0:t>H12023_服务 / 7_原始输入!B105</ns0:t>
        </ns0:is>
      </ns0:c>
      <ns0:c r="C105" s="41" t="n">
        <ns0:v>164316</ns0:v>
      </ns0:c>
      <ns0:c r="D105" s="16" t="inlineStr">
        <ns0:is>
          <ns0:t>2024_US_424B4 PDF页355/F-79；361–362/F-85–86；https://ir.weride.ai/static-files/406cbf25-bb49-4020-b913-f9cca1283c6e</ns0:t>
        </ns0:is>
      </ns0:c>
      <ns0:c r="E105" s="16" t="inlineStr">
        <ns0:is>
          <ns0:t>半年披露；2024 OCF采用港股招股书后列比较数，较美招股书差378千元；单位：人民币千元</ns0:t>
        </ns0:is>
      </ns0:c>
    </ns0:row>
    <ns0:row r="106">
      <ns0:c r="A106" s="16" t="inlineStr">
        <ns0:is>
          <ns0:t>2026-09-17</ns0:t>
        </ns0:is>
      </ns0:c>
      <ns0:c r="B106" s="16" t="inlineStr">
        <ns0:is>
          <ns0:t>H12024_服务 / 7_原始输入!B106</ns0:t>
        </ns0:is>
      </ns0:c>
      <ns0:c r="C106" s="41" t="n">
        <ns0:v>129253</ns0:v>
      </ns0:c>
      <ns0:c r="D106" s="16" t="inlineStr">
        <ns0:is>
          <ns0:t>2024_US_424B4 PDF页355/F-79；361–362/F-85–86；https://ir.weride.ai/static-files/406cbf25-bb49-4020-b913-f9cca1283c6e</ns0:t>
        </ns0:is>
      </ns0:c>
      <ns0:c r="E106" s="16" t="inlineStr">
        <ns0:is>
          <ns0:t>半年披露；2024 OCF采用港股招股书后列比较数，较美招股书差378千元；单位：人民币千元</ns0:t>
        </ns0:is>
      </ns0:c>
    </ns0:row>
    <ns0:row r="107">
      <ns0:c r="A107" s="16" t="inlineStr">
        <ns0:is>
          <ns0:t>2026-09-17</ns0:t>
        </ns0:is>
      </ns0:c>
      <ns0:c r="B107" s="16" t="inlineStr">
        <ns0:is>
          <ns0:t>H12025_服务 / 7_原始输入!B107</ns0:t>
        </ns0:is>
      </ns0:c>
      <ns0:c r="C107" s="41" t="n">
        <ns0:v>130334</ns0:v>
      </ns0:c>
      <ns0:c r="D107" s="16" t="inlineStr">
        <ns0:is>
          <ns0:t>2026H1_interim PDF页47/46；53–54/52–53；https://www.hkexnews.hk/listedco/listconews/sehk/2026/0914/2026091401019.pdf</ns0:t>
        </ns0:is>
      </ns0:c>
      <ns0:c r="E107" s="16" t="inlineStr">
        <ns0:is>
          <ns0:t>半年披露；2024 OCF采用港股招股书后列比较数，较美招股书差378千元；单位：人民币千元</ns0:t>
        </ns0:is>
      </ns0:c>
    </ns0:row>
    <ns0:row r="108">
      <ns0:c r="A108" s="16" t="inlineStr">
        <ns0:is>
          <ns0:t>2026-09-17</ns0:t>
        </ns0:is>
      </ns0:c>
      <ns0:c r="B108" s="16" t="inlineStr">
        <ns0:is>
          <ns0:t>H12026_服务 / 7_原始输入!B108</ns0:t>
        </ns0:is>
      </ns0:c>
      <ns0:c r="C108" s="41" t="n">
        <ns0:v>233074</ns0:v>
      </ns0:c>
      <ns0:c r="D108" s="16" t="inlineStr">
        <ns0:is>
          <ns0:t>2026H1_interim PDF页47/46；53–54/52–53；https://www.hkexnews.hk/listedco/listconews/sehk/2026/0914/2026091401019.pdf</ns0:t>
        </ns0:is>
      </ns0:c>
      <ns0:c r="E108" s="16" t="inlineStr">
        <ns0:is>
          <ns0:t>半年披露；2024 OCF采用港股招股书后列比较数，较美招股书差378千元；单位：人民币千元</ns0:t>
        </ns0:is>
      </ns0:c>
    </ns0:row>
    <ns0:row r="109">
      <ns0:c r="A109" s="16" t="inlineStr">
        <ns0:is>
          <ns0:t>2026-09-17</ns0:t>
        </ns0:is>
      </ns0:c>
      <ns0:c r="B109" s="16" t="inlineStr">
        <ns0:is>
          <ns0:t>H12023_毛利 / 7_原始输入!B109</ns0:t>
        </ns0:is>
      </ns0:c>
      <ns0:c r="C109" s="41" t="n">
        <ns0:v>83975</ns0:v>
      </ns0:c>
      <ns0:c r="D109" s="16" t="inlineStr">
        <ns0:is>
          <ns0:t>2024_US_424B4 PDF页355/F-79；361–362/F-85–86；https://ir.weride.ai/static-files/406cbf25-bb49-4020-b913-f9cca1283c6e</ns0:t>
        </ns0:is>
      </ns0:c>
      <ns0:c r="E109" s="16" t="inlineStr">
        <ns0:is>
          <ns0:t>半年披露；2024 OCF采用港股招股书后列比较数，较美招股书差378千元；单位：人民币千元</ns0:t>
        </ns0:is>
      </ns0:c>
    </ns0:row>
    <ns0:row r="110">
      <ns0:c r="A110" s="16" t="inlineStr">
        <ns0:is>
          <ns0:t>2026-09-17</ns0:t>
        </ns0:is>
      </ns0:c>
      <ns0:c r="B110" s="16" t="inlineStr">
        <ns0:is>
          <ns0:t>H12024_毛利 / 7_原始输入!B110</ns0:t>
        </ns0:is>
      </ns0:c>
      <ns0:c r="C110" s="41" t="n">
        <ns0:v>54789</ns0:v>
      </ns0:c>
      <ns0:c r="D110" s="16" t="inlineStr">
        <ns0:is>
          <ns0:t>2024_US_424B4 PDF页355/F-79；361–362/F-85–86；https://ir.weride.ai/static-files/406cbf25-bb49-4020-b913-f9cca1283c6e</ns0:t>
        </ns0:is>
      </ns0:c>
      <ns0:c r="E110" s="16" t="inlineStr">
        <ns0:is>
          <ns0:t>半年披露；2024 OCF采用港股招股书后列比较数，较美招股书差378千元；单位：人民币千元</ns0:t>
        </ns0:is>
      </ns0:c>
    </ns0:row>
    <ns0:row r="111">
      <ns0:c r="A111" s="16" t="inlineStr">
        <ns0:is>
          <ns0:t>2026-09-17</ns0:t>
        </ns0:is>
      </ns0:c>
      <ns0:c r="B111" s="16" t="inlineStr">
        <ns0:is>
          <ns0:t>H12025_毛利 / 7_原始输入!B111</ns0:t>
        </ns0:is>
      </ns0:c>
      <ns0:c r="C111" s="41" t="n">
        <ns0:v>61059</ns0:v>
      </ns0:c>
      <ns0:c r="D111" s="16" t="inlineStr">
        <ns0:is>
          <ns0:t>2026H1_interim PDF页47/46；53–54/52–53；https://www.hkexnews.hk/listedco/listconews/sehk/2026/0914/2026091401019.pdf</ns0:t>
        </ns0:is>
      </ns0:c>
      <ns0:c r="E111" s="16" t="inlineStr">
        <ns0:is>
          <ns0:t>半年披露；2024 OCF采用港股招股书后列比较数，较美招股书差378千元；单位：人民币千元</ns0:t>
        </ns0:is>
      </ns0:c>
    </ns0:row>
    <ns0:row r="112">
      <ns0:c r="A112" s="16" t="inlineStr">
        <ns0:is>
          <ns0:t>2026-09-17</ns0:t>
        </ns0:is>
      </ns0:c>
      <ns0:c r="B112" s="16" t="inlineStr">
        <ns0:is>
          <ns0:t>H12026_毛利 / 7_原始输入!B112</ns0:t>
        </ns0:is>
      </ns0:c>
      <ns0:c r="C112" s="41" t="n">
        <ns0:v>126473</ns0:v>
      </ns0:c>
      <ns0:c r="D112" s="16" t="inlineStr">
        <ns0:is>
          <ns0:t>2026H1_interim PDF页47/46；53–54/52–53；https://www.hkexnews.hk/listedco/listconews/sehk/2026/0914/2026091401019.pdf</ns0:t>
        </ns0:is>
      </ns0:c>
      <ns0:c r="E112" s="16" t="inlineStr">
        <ns0:is>
          <ns0:t>半年披露；2024 OCF采用港股招股书后列比较数，较美招股书差378千元；单位：人民币千元</ns0:t>
        </ns0:is>
      </ns0:c>
    </ns0:row>
    <ns0:row r="113">
      <ns0:c r="A113" s="16" t="inlineStr">
        <ns0:is>
          <ns0:t>2026-09-17</ns0:t>
        </ns0:is>
      </ns0:c>
      <ns0:c r="B113" s="16" t="inlineStr">
        <ns0:is>
          <ns0:t>H12023_研发 / 7_原始输入!B113</ns0:t>
        </ns0:is>
      </ns0:c>
      <ns0:c r="C113" s="41" t="n">
        <ns0:v>-376121</ns0:v>
      </ns0:c>
      <ns0:c r="D113" s="16" t="inlineStr">
        <ns0:is>
          <ns0:t>2024_US_424B4 PDF页355/F-79；361–362/F-85–86；https://ir.weride.ai/static-files/406cbf25-bb49-4020-b913-f9cca1283c6e</ns0:t>
        </ns0:is>
      </ns0:c>
      <ns0:c r="E113" s="16" t="inlineStr">
        <ns0:is>
          <ns0:t>半年披露；2024 OCF采用港股招股书后列比较数，较美招股书差378千元；单位：人民币千元</ns0:t>
        </ns0:is>
      </ns0:c>
    </ns0:row>
    <ns0:row r="114">
      <ns0:c r="A114" s="16" t="inlineStr">
        <ns0:is>
          <ns0:t>2026-09-17</ns0:t>
        </ns0:is>
      </ns0:c>
      <ns0:c r="B114" s="16" t="inlineStr">
        <ns0:is>
          <ns0:t>H12024_研发 / 7_原始输入!B114</ns0:t>
        </ns0:is>
      </ns0:c>
      <ns0:c r="C114" s="41" t="n">
        <ns0:v>-517210</ns0:v>
      </ns0:c>
      <ns0:c r="D114" s="16" t="inlineStr">
        <ns0:is>
          <ns0:t>2024_US_424B4 PDF页355/F-79；361–362/F-85–86；https://ir.weride.ai/static-files/406cbf25-bb49-4020-b913-f9cca1283c6e</ns0:t>
        </ns0:is>
      </ns0:c>
      <ns0:c r="E114" s="16" t="inlineStr">
        <ns0:is>
          <ns0:t>半年披露；2024 OCF采用港股招股书后列比较数，较美招股书差378千元；单位：人民币千元</ns0:t>
        </ns0:is>
      </ns0:c>
    </ns0:row>
    <ns0:row r="115">
      <ns0:c r="A115" s="16" t="inlineStr">
        <ns0:is>
          <ns0:t>2026-09-17</ns0:t>
        </ns0:is>
      </ns0:c>
      <ns0:c r="B115" s="16" t="inlineStr">
        <ns0:is>
          <ns0:t>H12025_研发 / 7_原始输入!B115</ns0:t>
        </ns0:is>
      </ns0:c>
      <ns0:c r="C115" s="41" t="n">
        <ns0:v>-644635</ns0:v>
      </ns0:c>
      <ns0:c r="D115" s="16" t="inlineStr">
        <ns0:is>
          <ns0:t>2026H1_interim PDF页47/46；53–54/52–53；https://www.hkexnews.hk/listedco/listconews/sehk/2026/0914/2026091401019.pdf</ns0:t>
        </ns0:is>
      </ns0:c>
      <ns0:c r="E115" s="16" t="inlineStr">
        <ns0:is>
          <ns0:t>半年披露；2024 OCF采用港股招股书后列比较数，较美招股书差378千元；单位：人民币千元</ns0:t>
        </ns0:is>
      </ns0:c>
    </ns0:row>
    <ns0:row r="116">
      <ns0:c r="A116" s="16" t="inlineStr">
        <ns0:is>
          <ns0:t>2026-09-17</ns0:t>
        </ns0:is>
      </ns0:c>
      <ns0:c r="B116" s="16" t="inlineStr">
        <ns0:is>
          <ns0:t>H12026_研发 / 7_原始输入!B116</ns0:t>
        </ns0:is>
      </ns0:c>
      <ns0:c r="C116" s="41" t="n">
        <ns0:v>-797654</ns0:v>
      </ns0:c>
      <ns0:c r="D116" s="16" t="inlineStr">
        <ns0:is>
          <ns0:t>2026H1_interim PDF页47/46；53–54/52–53；https://www.hkexnews.hk/listedco/listconews/sehk/2026/0914/2026091401019.pdf</ns0:t>
        </ns0:is>
      </ns0:c>
      <ns0:c r="E116" s="16" t="inlineStr">
        <ns0:is>
          <ns0:t>半年披露；2024 OCF采用港股招股书后列比较数，较美招股书差378千元；单位：人民币千元</ns0:t>
        </ns0:is>
      </ns0:c>
    </ns0:row>
    <ns0:row r="117">
      <ns0:c r="A117" s="16" t="inlineStr">
        <ns0:is>
          <ns0:t>2026-09-17</ns0:t>
        </ns0:is>
      </ns0:c>
      <ns0:c r="B117" s="16" t="inlineStr">
        <ns0:is>
          <ns0:t>H12023_行政 / 7_原始输入!B117</ns0:t>
        </ns0:is>
      </ns0:c>
      <ns0:c r="C117" s="41" t="n">
        <ns0:v>-217101</ns0:v>
      </ns0:c>
      <ns0:c r="D117" s="16" t="inlineStr">
        <ns0:is>
          <ns0:t>2024_US_424B4 PDF页355/F-79；361–362/F-85–86；https://ir.weride.ai/static-files/406cbf25-bb49-4020-b913-f9cca1283c6e</ns0:t>
        </ns0:is>
      </ns0:c>
      <ns0:c r="E117" s="16" t="inlineStr">
        <ns0:is>
          <ns0:t>半年披露；2024 OCF采用港股招股书后列比较数，较美招股书差378千元；单位：人民币千元</ns0:t>
        </ns0:is>
      </ns0:c>
    </ns0:row>
    <ns0:row r="118">
      <ns0:c r="A118" s="16" t="inlineStr">
        <ns0:is>
          <ns0:t>2026-09-17</ns0:t>
        </ns0:is>
      </ns0:c>
      <ns0:c r="B118" s="16" t="inlineStr">
        <ns0:is>
          <ns0:t>H12024_行政 / 7_原始输入!B118</ns0:t>
        </ns0:is>
      </ns0:c>
      <ns0:c r="C118" s="41" t="n">
        <ns0:v>-208293</ns0:v>
      </ns0:c>
      <ns0:c r="D118" s="16" t="inlineStr">
        <ns0:is>
          <ns0:t>2024_US_424B4 PDF页355/F-79；361–362/F-85–86；https://ir.weride.ai/static-files/406cbf25-bb49-4020-b913-f9cca1283c6e</ns0:t>
        </ns0:is>
      </ns0:c>
      <ns0:c r="E118" s="16" t="inlineStr">
        <ns0:is>
          <ns0:t>半年披露；2024 OCF采用港股招股书后列比较数，较美招股书差378千元；单位：人民币千元</ns0:t>
        </ns0:is>
      </ns0:c>
    </ns0:row>
    <ns0:row r="119">
      <ns0:c r="A119" s="16" t="inlineStr">
        <ns0:is>
          <ns0:t>2026-09-17</ns0:t>
        </ns0:is>
      </ns0:c>
      <ns0:c r="B119" s="16" t="inlineStr">
        <ns0:is>
          <ns0:t>H12025_行政 / 7_原始输入!B119</ns0:t>
        </ns0:is>
      </ns0:c>
      <ns0:c r="C119" s="41" t="n">
        <ns0:v>-278942</ns0:v>
      </ns0:c>
      <ns0:c r="D119" s="16" t="inlineStr">
        <ns0:is>
          <ns0:t>2026H1_interim PDF页47/46；53–54/52–53；https://www.hkexnews.hk/listedco/listconews/sehk/2026/0914/2026091401019.pdf</ns0:t>
        </ns0:is>
      </ns0:c>
      <ns0:c r="E119" s="16" t="inlineStr">
        <ns0:is>
          <ns0:t>半年披露；2024 OCF采用港股招股书后列比较数，较美招股书差378千元；单位：人民币千元</ns0:t>
        </ns0:is>
      </ns0:c>
    </ns0:row>
    <ns0:row r="120">
      <ns0:c r="A120" s="16" t="inlineStr">
        <ns0:is>
          <ns0:t>2026-09-17</ns0:t>
        </ns0:is>
      </ns0:c>
      <ns0:c r="B120" s="16" t="inlineStr">
        <ns0:is>
          <ns0:t>H12026_行政 / 7_原始输入!B120</ns0:t>
        </ns0:is>
      </ns0:c>
      <ns0:c r="C120" s="41" t="n">
        <ns0:v>-152066</ns0:v>
      </ns0:c>
      <ns0:c r="D120" s="16" t="inlineStr">
        <ns0:is>
          <ns0:t>2026H1_interim PDF页47/46；53–54/52–53；https://www.hkexnews.hk/listedco/listconews/sehk/2026/0914/2026091401019.pdf</ns0:t>
        </ns0:is>
      </ns0:c>
      <ns0:c r="E120" s="16" t="inlineStr">
        <ns0:is>
          <ns0:t>半年披露；2024 OCF采用港股招股书后列比较数，较美招股书差378千元；单位：人民币千元</ns0:t>
        </ns0:is>
      </ns0:c>
    </ns0:row>
    <ns0:row r="121">
      <ns0:c r="A121" s="16" t="inlineStr">
        <ns0:is>
          <ns0:t>2026-09-17</ns0:t>
        </ns0:is>
      </ns0:c>
      <ns0:c r="B121" s="16" t="inlineStr">
        <ns0:is>
          <ns0:t>H12023_销售 / 7_原始输入!B121</ns0:t>
        </ns0:is>
      </ns0:c>
      <ns0:c r="C121" s="41" t="n">
        <ns0:v>-14619</ns0:v>
      </ns0:c>
      <ns0:c r="D121" s="16" t="inlineStr">
        <ns0:is>
          <ns0:t>2024_US_424B4 PDF页355/F-79；361–362/F-85–86；https://ir.weride.ai/static-files/406cbf25-bb49-4020-b913-f9cca1283c6e</ns0:t>
        </ns0:is>
      </ns0:c>
      <ns0:c r="E121" s="16" t="inlineStr">
        <ns0:is>
          <ns0:t>半年披露；2024 OCF采用港股招股书后列比较数，较美招股书差378千元；单位：人民币千元</ns0:t>
        </ns0:is>
      </ns0:c>
    </ns0:row>
    <ns0:row r="122">
      <ns0:c r="A122" s="16" t="inlineStr">
        <ns0:is>
          <ns0:t>2026-09-17</ns0:t>
        </ns0:is>
      </ns0:c>
      <ns0:c r="B122" s="16" t="inlineStr">
        <ns0:is>
          <ns0:t>H12024_销售 / 7_原始输入!B122</ns0:t>
        </ns0:is>
      </ns0:c>
      <ns0:c r="C122" s="41" t="n">
        <ns0:v>-22784</ns0:v>
      </ns0:c>
      <ns0:c r="D122" s="16" t="inlineStr">
        <ns0:is>
          <ns0:t>2024_US_424B4 PDF页355/F-79；361–362/F-85–86；https://ir.weride.ai/static-files/406cbf25-bb49-4020-b913-f9cca1283c6e</ns0:t>
        </ns0:is>
      </ns0:c>
      <ns0:c r="E122" s="16" t="inlineStr">
        <ns0:is>
          <ns0:t>半年披露；2024 OCF采用港股招股书后列比较数，较美招股书差378千元；单位：人民币千元</ns0:t>
        </ns0:is>
      </ns0:c>
    </ns0:row>
    <ns0:row r="123">
      <ns0:c r="A123" s="16" t="inlineStr">
        <ns0:is>
          <ns0:t>2026-09-17</ns0:t>
        </ns0:is>
      </ns0:c>
      <ns0:c r="B123" s="16" t="inlineStr">
        <ns0:is>
          <ns0:t>H12025_销售 / 7_原始输入!B123</ns0:t>
        </ns0:is>
      </ns0:c>
      <ns0:c r="C123" s="41" t="n">
        <ns0:v>-27780</ns0:v>
      </ns0:c>
      <ns0:c r="D123" s="16" t="inlineStr">
        <ns0:is>
          <ns0:t>2026H1_interim PDF页47/46；53–54/52–53；https://www.hkexnews.hk/listedco/listconews/sehk/2026/0914/2026091401019.pdf</ns0:t>
        </ns0:is>
      </ns0:c>
      <ns0:c r="E123" s="16" t="inlineStr">
        <ns0:is>
          <ns0:t>半年披露；2024 OCF采用港股招股书后列比较数，较美招股书差378千元；单位：人民币千元</ns0:t>
        </ns0:is>
      </ns0:c>
    </ns0:row>
    <ns0:row r="124">
      <ns0:c r="A124" s="16" t="inlineStr">
        <ns0:is>
          <ns0:t>2026-09-17</ns0:t>
        </ns0:is>
      </ns0:c>
      <ns0:c r="B124" s="16" t="inlineStr">
        <ns0:is>
          <ns0:t>H12026_销售 / 7_原始输入!B124</ns0:t>
        </ns0:is>
      </ns0:c>
      <ns0:c r="C124" s="41" t="n">
        <ns0:v>-51891</ns0:v>
      </ns0:c>
      <ns0:c r="D124" s="16" t="inlineStr">
        <ns0:is>
          <ns0:t>2026H1_interim PDF页47/46；53–54/52–53；https://www.hkexnews.hk/listedco/listconews/sehk/2026/0914/2026091401019.pdf</ns0:t>
        </ns0:is>
      </ns0:c>
      <ns0:c r="E124" s="16" t="inlineStr">
        <ns0:is>
          <ns0:t>半年披露；2024 OCF采用港股招股书后列比较数，较美招股书差378千元；单位：人民币千元</ns0:t>
        </ns0:is>
      </ns0:c>
    </ns0:row>
    <ns0:row r="125">
      <ns0:c r="A125" s="16" t="inlineStr">
        <ns0:is>
          <ns0:t>2026-09-17</ns0:t>
        </ns0:is>
      </ns0:c>
      <ns0:c r="B125" s="16" t="inlineStr">
        <ns0:is>
          <ns0:t>H12023_经营亏损 / 7_原始输入!B125</ns0:t>
        </ns0:is>
      </ns0:c>
      <ns0:c r="C125" s="41" t="n">
        <ns0:v>-538270</ns0:v>
      </ns0:c>
      <ns0:c r="D125" s="16" t="inlineStr">
        <ns0:is>
          <ns0:t>2024_US_424B4 PDF页355/F-79；361–362/F-85–86；https://ir.weride.ai/static-files/406cbf25-bb49-4020-b913-f9cca1283c6e</ns0:t>
        </ns0:is>
      </ns0:c>
      <ns0:c r="E125" s="16" t="inlineStr">
        <ns0:is>
          <ns0:t>半年披露；2024 OCF采用港股招股书后列比较数，较美招股书差378千元；单位：人民币千元</ns0:t>
        </ns0:is>
      </ns0:c>
    </ns0:row>
    <ns0:row r="126">
      <ns0:c r="A126" s="16" t="inlineStr">
        <ns0:is>
          <ns0:t>2026-09-17</ns0:t>
        </ns0:is>
      </ns0:c>
      <ns0:c r="B126" s="16" t="inlineStr">
        <ns0:is>
          <ns0:t>H12024_经营亏损 / 7_原始输入!B126</ns0:t>
        </ns0:is>
      </ns0:c>
      <ns0:c r="C126" s="41" t="n">
        <ns0:v>-698983</ns0:v>
      </ns0:c>
      <ns0:c r="D126" s="16" t="inlineStr">
        <ns0:is>
          <ns0:t>2024_US_424B4 PDF页355/F-79；361–362/F-85–86；https://ir.weride.ai/static-files/406cbf25-bb49-4020-b913-f9cca1283c6e</ns0:t>
        </ns0:is>
      </ns0:c>
      <ns0:c r="E126" s="16" t="inlineStr">
        <ns0:is>
          <ns0:t>半年披露；2024 OCF采用港股招股书后列比较数，较美招股书差378千元；单位：人民币千元</ns0:t>
        </ns0:is>
      </ns0:c>
    </ns0:row>
    <ns0:row r="127">
      <ns0:c r="A127" s="16" t="inlineStr">
        <ns0:is>
          <ns0:t>2026-09-17</ns0:t>
        </ns0:is>
      </ns0:c>
      <ns0:c r="B127" s="16" t="inlineStr">
        <ns0:is>
          <ns0:t>H12025_经营亏损 / 7_原始输入!B127</ns0:t>
        </ns0:is>
      </ns0:c>
      <ns0:c r="C127" s="41" t="n">
        <ns0:v>-890077</ns0:v>
      </ns0:c>
      <ns0:c r="D127" s="16" t="inlineStr">
        <ns0:is>
          <ns0:t>2026H1_interim PDF页47/46；53–54/52–53；https://www.hkexnews.hk/listedco/listconews/sehk/2026/0914/2026091401019.pdf</ns0:t>
        </ns0:is>
      </ns0:c>
      <ns0:c r="E127" s="16" t="inlineStr">
        <ns0:is>
          <ns0:t>半年披露；2024 OCF采用港股招股书后列比较数，较美招股书差378千元；单位：人民币千元</ns0:t>
        </ns0:is>
      </ns0:c>
    </ns0:row>
    <ns0:row r="128">
      <ns0:c r="A128" s="16" t="inlineStr">
        <ns0:is>
          <ns0:t>2026-09-17</ns0:t>
        </ns0:is>
      </ns0:c>
      <ns0:c r="B128" s="16" t="inlineStr">
        <ns0:is>
          <ns0:t>H12026_经营亏损 / 7_原始输入!B128</ns0:t>
        </ns0:is>
      </ns0:c>
      <ns0:c r="C128" s="41" t="n">
        <ns0:v>-852910</ns0:v>
      </ns0:c>
      <ns0:c r="D128" s="16" t="inlineStr">
        <ns0:is>
          <ns0:t>2026H1_interim PDF页47/46；53–54/52–53；https://www.hkexnews.hk/listedco/listconews/sehk/2026/0914/2026091401019.pdf</ns0:t>
        </ns0:is>
      </ns0:c>
      <ns0:c r="E128" s="16" t="inlineStr">
        <ns0:is>
          <ns0:t>半年披露；2024 OCF采用港股招股书后列比较数，较美招股书差378千元；单位：人民币千元</ns0:t>
        </ns0:is>
      </ns0:c>
    </ns0:row>
    <ns0:row r="129">
      <ns0:c r="A129" s="16" t="inlineStr">
        <ns0:is>
          <ns0:t>2026-09-17</ns0:t>
        </ns0:is>
      </ns0:c>
      <ns0:c r="B129" s="16" t="inlineStr">
        <ns0:is>
          <ns0:t>H12023_归母净亏损 / 7_原始输入!B129</ns0:t>
        </ns0:is>
      </ns0:c>
      <ns0:c r="C129" s="41" t="n">
        <ns0:v>-723092</ns0:v>
      </ns0:c>
      <ns0:c r="D129" s="16" t="inlineStr">
        <ns0:is>
          <ns0:t>2024_US_424B4 PDF页355/F-79；361–362/F-85–86；https://ir.weride.ai/static-files/406cbf25-bb49-4020-b913-f9cca1283c6e</ns0:t>
        </ns0:is>
      </ns0:c>
      <ns0:c r="E129" s="16" t="inlineStr">
        <ns0:is>
          <ns0:t>半年披露；2024 OCF采用港股招股书后列比较数，较美招股书差378千元；单位：人民币千元</ns0:t>
        </ns0:is>
      </ns0:c>
    </ns0:row>
    <ns0:row r="130">
      <ns0:c r="A130" s="16" t="inlineStr">
        <ns0:is>
          <ns0:t>2026-09-17</ns0:t>
        </ns0:is>
      </ns0:c>
      <ns0:c r="B130" s="16" t="inlineStr">
        <ns0:is>
          <ns0:t>H12024_归母净亏损 / 7_原始输入!B130</ns0:t>
        </ns0:is>
      </ns0:c>
      <ns0:c r="C130" s="41" t="n">
        <ns0:v>-881700</ns0:v>
      </ns0:c>
      <ns0:c r="D130" s="16" t="inlineStr">
        <ns0:is>
          <ns0:t>2024_US_424B4 PDF页355/F-79；361–362/F-85–86；https://ir.weride.ai/static-files/406cbf25-bb49-4020-b913-f9cca1283c6e</ns0:t>
        </ns0:is>
      </ns0:c>
      <ns0:c r="E130" s="16" t="inlineStr">
        <ns0:is>
          <ns0:t>半年披露；2024 OCF采用港股招股书后列比较数，较美招股书差378千元；单位：人民币千元</ns0:t>
        </ns0:is>
      </ns0:c>
    </ns0:row>
    <ns0:row r="131">
      <ns0:c r="A131" s="16" t="inlineStr">
        <ns0:is>
          <ns0:t>2026-09-17</ns0:t>
        </ns0:is>
      </ns0:c>
      <ns0:c r="B131" s="16" t="inlineStr">
        <ns0:is>
          <ns0:t>H12025_归母净亏损 / 7_原始输入!B131</ns0:t>
        </ns0:is>
      </ns0:c>
      <ns0:c r="C131" s="41" t="n">
        <ns0:v>-791517</ns0:v>
      </ns0:c>
      <ns0:c r="D131" s="16" t="inlineStr">
        <ns0:is>
          <ns0:t>2026H1_interim PDF页47/46；53–54/52–53；https://www.hkexnews.hk/listedco/listconews/sehk/2026/0914/2026091401019.pdf</ns0:t>
        </ns0:is>
      </ns0:c>
      <ns0:c r="E131" s="16" t="inlineStr">
        <ns0:is>
          <ns0:t>半年披露；2024 OCF采用港股招股书后列比较数，较美招股书差378千元；单位：人民币千元</ns0:t>
        </ns0:is>
      </ns0:c>
    </ns0:row>
    <ns0:row r="132">
      <ns0:c r="A132" s="16" t="inlineStr">
        <ns0:is>
          <ns0:t>2026-09-17</ns0:t>
        </ns0:is>
      </ns0:c>
      <ns0:c r="B132" s="16" t="inlineStr">
        <ns0:is>
          <ns0:t>H12026_归母净亏损 / 7_原始输入!B132</ns0:t>
        </ns0:is>
      </ns0:c>
      <ns0:c r="C132" s="41" t="n">
        <ns0:v>-789750</ns0:v>
      </ns0:c>
      <ns0:c r="D132" s="16" t="inlineStr">
        <ns0:is>
          <ns0:t>2026H1_interim PDF页47/46；53–54/52–53；https://www.hkexnews.hk/listedco/listconews/sehk/2026/0914/2026091401019.pdf</ns0:t>
        </ns0:is>
      </ns0:c>
      <ns0:c r="E132" s="16" t="inlineStr">
        <ns0:is>
          <ns0:t>半年披露；2024 OCF采用港股招股书后列比较数，较美招股书差378千元；单位：人民币千元</ns0:t>
        </ns0:is>
      </ns0:c>
    </ns0:row>
    <ns0:row r="133">
      <ns0:c r="A133" s="16" t="inlineStr">
        <ns0:is>
          <ns0:t>2026-09-17</ns0:t>
        </ns0:is>
      </ns0:c>
      <ns0:c r="B133" s="16" t="inlineStr">
        <ns0:is>
          <ns0:t>H12023_融资成本 / 7_原始输入!B133</ns0:t>
        </ns0:is>
      </ns0:c>
      <ns0:c r="C133" s="41" t="n">
        <ns0:v>-1784</ns0:v>
      </ns0:c>
      <ns0:c r="D133" s="16" t="inlineStr">
        <ns0:is>
          <ns0:t>2024_US_424B4 PDF页355/F-79；361–362/F-85–86；https://ir.weride.ai/static-files/406cbf25-bb49-4020-b913-f9cca1283c6e</ns0:t>
        </ns0:is>
      </ns0:c>
      <ns0:c r="E133" s="16" t="inlineStr">
        <ns0:is>
          <ns0:t>半年披露；2024 OCF采用港股招股书后列比较数，较美招股书差378千元；单位：人民币千元</ns0:t>
        </ns0:is>
      </ns0:c>
    </ns0:row>
    <ns0:row r="134">
      <ns0:c r="A134" s="16" t="inlineStr">
        <ns0:is>
          <ns0:t>2026-09-17</ns0:t>
        </ns0:is>
      </ns0:c>
      <ns0:c r="B134" s="16" t="inlineStr">
        <ns0:is>
          <ns0:t>H12024_融资成本 / 7_原始输入!B134</ns0:t>
        </ns0:is>
      </ns0:c>
      <ns0:c r="C134" s="41" t="n">
        <ns0:v>-1356</ns0:v>
      </ns0:c>
      <ns0:c r="D134" s="16" t="inlineStr">
        <ns0:is>
          <ns0:t>2024_US_424B4 PDF页355/F-79；361–362/F-85–86；https://ir.weride.ai/static-files/406cbf25-bb49-4020-b913-f9cca1283c6e</ns0:t>
        </ns0:is>
      </ns0:c>
      <ns0:c r="E134" s="16" t="inlineStr">
        <ns0:is>
          <ns0:t>半年披露；2024 OCF采用港股招股书后列比较数，较美招股书差378千元；单位：人民币千元</ns0:t>
        </ns0:is>
      </ns0:c>
    </ns0:row>
    <ns0:row r="135">
      <ns0:c r="A135" s="16" t="inlineStr">
        <ns0:is>
          <ns0:t>2026-09-17</ns0:t>
        </ns0:is>
      </ns0:c>
      <ns0:c r="B135" s="16" t="inlineStr">
        <ns0:is>
          <ns0:t>H12025_融资成本 / 7_原始输入!B135</ns0:t>
        </ns0:is>
      </ns0:c>
      <ns0:c r="C135" s="41" t="n">
        <ns0:v>-3292</ns0:v>
      </ns0:c>
      <ns0:c r="D135" s="16" t="inlineStr">
        <ns0:is>
          <ns0:t>2026H1_interim PDF页47/46；53–54/52–53；https://www.hkexnews.hk/listedco/listconews/sehk/2026/0914/2026091401019.pdf</ns0:t>
        </ns0:is>
      </ns0:c>
      <ns0:c r="E135" s="16" t="inlineStr">
        <ns0:is>
          <ns0:t>半年披露；2024 OCF采用港股招股书后列比较数，较美招股书差378千元；单位：人民币千元</ns0:t>
        </ns0:is>
      </ns0:c>
    </ns0:row>
    <ns0:row r="136">
      <ns0:c r="A136" s="16" t="inlineStr">
        <ns0:is>
          <ns0:t>2026-09-17</ns0:t>
        </ns0:is>
      </ns0:c>
      <ns0:c r="B136" s="16" t="inlineStr">
        <ns0:is>
          <ns0:t>H12026_融资成本 / 7_原始输入!B136</ns0:t>
        </ns0:is>
      </ns0:c>
      <ns0:c r="C136" s="41" t="n">
        <ns0:v>-5089</ns0:v>
      </ns0:c>
      <ns0:c r="D136" s="16" t="inlineStr">
        <ns0:is>
          <ns0:t>2026H1_interim PDF页47/46；53–54/52–53；https://www.hkexnews.hk/listedco/listconews/sehk/2026/0914/2026091401019.pdf</ns0:t>
        </ns0:is>
      </ns0:c>
      <ns0:c r="E136" s="16" t="inlineStr">
        <ns0:is>
          <ns0:t>半年披露；2024 OCF采用港股招股书后列比较数，较美招股书差378千元；单位：人民币千元</ns0:t>
        </ns0:is>
      </ns0:c>
    </ns0:row>
    <ns0:row r="137">
      <ns0:c r="A137" s="16" t="inlineStr">
        <ns0:is>
          <ns0:t>2026-09-17</ns0:t>
        </ns0:is>
      </ns0:c>
      <ns0:c r="B137" s="16" t="inlineStr">
        <ns0:is>
          <ns0:t>H12023_OCF / 7_原始输入!B137</ns0:t>
        </ns0:is>
      </ns0:c>
      <ns0:c r="C137" s="41" t="n">
        <ns0:v>-223742</ns0:v>
      </ns0:c>
      <ns0:c r="D137" s="16" t="inlineStr">
        <ns0:is>
          <ns0:t>2024_US_424B4 PDF页355/F-79；361–362/F-85–86；https://ir.weride.ai/static-files/406cbf25-bb49-4020-b913-f9cca1283c6e</ns0:t>
        </ns0:is>
      </ns0:c>
      <ns0:c r="E137" s="16" t="inlineStr">
        <ns0:is>
          <ns0:t>半年披露；2024 OCF采用港股招股书后列比较数，较美招股书差378千元；单位：人民币千元</ns0:t>
        </ns0:is>
      </ns0:c>
    </ns0:row>
    <ns0:row r="138">
      <ns0:c r="A138" s="16" t="inlineStr">
        <ns0:is>
          <ns0:t>2026-09-17</ns0:t>
        </ns0:is>
      </ns0:c>
      <ns0:c r="B138" s="16" t="inlineStr">
        <ns0:is>
          <ns0:t>H12024_OCF / 7_原始输入!B138</ns0:t>
        </ns0:is>
      </ns0:c>
      <ns0:c r="C138" s="41" t="n">
        <ns0:v>-327180</ns0:v>
      </ns0:c>
      <ns0:c r="D138" s="16" t="inlineStr">
        <ns0:is>
          <ns0:t>2025_HK_prospectus PDF页592–593/I-16–17；https://www1.hkexnews.hk/listedco/listconews/sehk/2025/1028/2025102800019.pdf</ns0:t>
        </ns0:is>
      </ns0:c>
      <ns0:c r="E138" s="16" t="inlineStr">
        <ns0:is>
          <ns0:t>半年披露；2024 OCF采用港股招股书后列比较数，较美招股书差378千元；单位：人民币千元</ns0:t>
        </ns0:is>
      </ns0:c>
    </ns0:row>
    <ns0:row r="139">
      <ns0:c r="A139" s="16" t="inlineStr">
        <ns0:is>
          <ns0:t>2026-09-17</ns0:t>
        </ns0:is>
      </ns0:c>
      <ns0:c r="B139" s="16" t="inlineStr">
        <ns0:is>
          <ns0:t>H12025_OCF / 7_原始输入!B139</ns0:t>
        </ns0:is>
      </ns0:c>
      <ns0:c r="C139" s="41" t="n">
        <ns0:v>-663396</ns0:v>
      </ns0:c>
      <ns0:c r="D139" s="16" t="inlineStr">
        <ns0:is>
          <ns0:t>2026H1_interim PDF页47/46；53–54/52–53；https://www.hkexnews.hk/listedco/listconews/sehk/2026/0914/2026091401019.pdf</ns0:t>
        </ns0:is>
      </ns0:c>
      <ns0:c r="E139" s="16" t="inlineStr">
        <ns0:is>
          <ns0:t>半年披露；2024 OCF采用港股招股书后列比较数，较美招股书差378千元；单位：人民币千元</ns0:t>
        </ns0:is>
      </ns0:c>
    </ns0:row>
    <ns0:row r="140">
      <ns0:c r="A140" s="16" t="inlineStr">
        <ns0:is>
          <ns0:t>2026-09-17</ns0:t>
        </ns0:is>
      </ns0:c>
      <ns0:c r="B140" s="16" t="inlineStr">
        <ns0:is>
          <ns0:t>H12026_OCF / 7_原始输入!B140</ns0:t>
        </ns0:is>
      </ns0:c>
      <ns0:c r="C140" s="41" t="n">
        <ns0:v>-715677</ns0:v>
      </ns0:c>
      <ns0:c r="D140" s="16" t="inlineStr">
        <ns0:is>
          <ns0:t>2026H1_interim PDF页47/46；53–54/52–53；https://www.hkexnews.hk/listedco/listconews/sehk/2026/0914/2026091401019.pdf</ns0:t>
        </ns0:is>
      </ns0:c>
      <ns0:c r="E140" s="16" t="inlineStr">
        <ns0:is>
          <ns0:t>半年披露；2024 OCF采用港股招股书后列比较数，较美招股书差378千元；单位：人民币千元</ns0:t>
        </ns0:is>
      </ns0:c>
    </ns0:row>
    <ns0:row r="141">
      <ns0:c r="A141" s="16" t="inlineStr">
        <ns0:is>
          <ns0:t>2026-09-17</ns0:t>
        </ns0:is>
      </ns0:c>
      <ns0:c r="B141" s="16" t="inlineStr">
        <ns0:is>
          <ns0:t>H12023_固定资产购置 / 7_原始输入!B141</ns0:t>
        </ns0:is>
      </ns0:c>
      <ns0:c r="C141" s="41" t="n">
        <ns0:v>15906</ns0:v>
      </ns0:c>
      <ns0:c r="D141" s="16" t="inlineStr">
        <ns0:is>
          <ns0:t>2024_US_424B4 PDF页355/F-79；361–362/F-85–86；https://ir.weride.ai/static-files/406cbf25-bb49-4020-b913-f9cca1283c6e</ns0:t>
        </ns0:is>
      </ns0:c>
      <ns0:c r="E141" s="16" t="inlineStr">
        <ns0:is>
          <ns0:t>半年披露；2024 OCF采用港股招股书后列比较数，较美招股书差378千元；单位：人民币千元</ns0:t>
        </ns0:is>
      </ns0:c>
    </ns0:row>
    <ns0:row r="142">
      <ns0:c r="A142" s="16" t="inlineStr">
        <ns0:is>
          <ns0:t>2026-09-17</ns0:t>
        </ns0:is>
      </ns0:c>
      <ns0:c r="B142" s="16" t="inlineStr">
        <ns0:is>
          <ns0:t>H12024_固定资产购置 / 7_原始输入!B142</ns0:t>
        </ns0:is>
      </ns0:c>
      <ns0:c r="C142" s="41" t="n">
        <ns0:v>33272</ns0:v>
      </ns0:c>
      <ns0:c r="D142" s="16" t="inlineStr">
        <ns0:is>
          <ns0:t>2024_US_424B4 PDF页355/F-79；361–362/F-85–86；https://ir.weride.ai/static-files/406cbf25-bb49-4020-b913-f9cca1283c6e</ns0:t>
        </ns0:is>
      </ns0:c>
      <ns0:c r="E142" s="16" t="inlineStr">
        <ns0:is>
          <ns0:t>半年披露；2024 OCF采用港股招股书后列比较数，较美招股书差378千元；单位：人民币千元</ns0:t>
        </ns0:is>
      </ns0:c>
    </ns0:row>
    <ns0:row r="143">
      <ns0:c r="A143" s="16" t="inlineStr">
        <ns0:is>
          <ns0:t>2026-09-17</ns0:t>
        </ns0:is>
      </ns0:c>
      <ns0:c r="B143" s="16" t="inlineStr">
        <ns0:is>
          <ns0:t>H12025_固定资产购置 / 7_原始输入!B143</ns0:t>
        </ns0:is>
      </ns0:c>
      <ns0:c r="C143" s="41" t="n">
        <ns0:v>134354</ns0:v>
      </ns0:c>
      <ns0:c r="D143" s="16" t="inlineStr">
        <ns0:is>
          <ns0:t>2026H1_interim PDF页47/46；53–54/52–53；https://www.hkexnews.hk/listedco/listconews/sehk/2026/0914/2026091401019.pdf</ns0:t>
        </ns0:is>
      </ns0:c>
      <ns0:c r="E143" s="16" t="inlineStr">
        <ns0:is>
          <ns0:t>半年披露；2024 OCF采用港股招股书后列比较数，较美招股书差378千元；单位：人民币千元</ns0:t>
        </ns0:is>
      </ns0:c>
    </ns0:row>
    <ns0:row r="144">
      <ns0:c r="A144" s="16" t="inlineStr">
        <ns0:is>
          <ns0:t>2026-09-17</ns0:t>
        </ns0:is>
      </ns0:c>
      <ns0:c r="B144" s="16" t="inlineStr">
        <ns0:is>
          <ns0:t>H12026_固定资产购置 / 7_原始输入!B144</ns0:t>
        </ns0:is>
      </ns0:c>
      <ns0:c r="C144" s="41" t="n">
        <ns0:v>235442</ns0:v>
      </ns0:c>
      <ns0:c r="D144" s="16" t="inlineStr">
        <ns0:is>
          <ns0:t>2026H1_interim PDF页47/46；53–54/52–53；https://www.hkexnews.hk/listedco/listconews/sehk/2026/0914/2026091401019.pdf</ns0:t>
        </ns0:is>
      </ns0:c>
      <ns0:c r="E144" s="16" t="inlineStr">
        <ns0:is>
          <ns0:t>半年披露；2024 OCF采用港股招股书后列比较数，较美招股书差378千元；单位：人民币千元</ns0:t>
        </ns0:is>
      </ns0:c>
    </ns0:row>
    <ns0:row r="145">
      <ns0:c r="A145" s="16" t="inlineStr">
        <ns0:is>
          <ns0:t>2026-09-17</ns0:t>
        </ns0:is>
      </ns0:c>
      <ns0:c r="B145" s="16" t="inlineStr">
        <ns0:is>
          <ns0:t>H12023_无形资产购置 / 7_原始输入!B145</ns0:t>
        </ns0:is>
      </ns0:c>
      <ns0:c r="C145" s="41" t="n">
        <ns0:v>127</ns0:v>
      </ns0:c>
      <ns0:c r="D145" s="16" t="inlineStr">
        <ns0:is>
          <ns0:t>2024_US_424B4 PDF页355/F-79；361–362/F-85–86；https://ir.weride.ai/static-files/406cbf25-bb49-4020-b913-f9cca1283c6e</ns0:t>
        </ns0:is>
      </ns0:c>
      <ns0:c r="E145" s="16" t="inlineStr">
        <ns0:is>
          <ns0:t>半年披露；2024 OCF采用港股招股书后列比较数，较美招股书差378千元；单位：人民币千元</ns0:t>
        </ns0:is>
      </ns0:c>
    </ns0:row>
    <ns0:row r="146">
      <ns0:c r="A146" s="16" t="inlineStr">
        <ns0:is>
          <ns0:t>2026-09-17</ns0:t>
        </ns0:is>
      </ns0:c>
      <ns0:c r="B146" s="16" t="inlineStr">
        <ns0:is>
          <ns0:t>H12024_无形资产购置 / 7_原始输入!B146</ns0:t>
        </ns0:is>
      </ns0:c>
      <ns0:c r="C146" s="41" t="n">
        <ns0:v>0</ns0:v>
      </ns0:c>
      <ns0:c r="D146" s="16" t="inlineStr">
        <ns0:is>
          <ns0:t>2024_US_424B4 PDF页355/F-79；361–362/F-85–86；https://ir.weride.ai/static-files/406cbf25-bb49-4020-b913-f9cca1283c6e</ns0:t>
        </ns0:is>
      </ns0:c>
      <ns0:c r="E146" s="16" t="inlineStr">
        <ns0:is>
          <ns0:t>半年披露；2024 OCF采用港股招股书后列比较数，较美招股书差378千元；单位：人民币千元</ns0:t>
        </ns0:is>
      </ns0:c>
    </ns0:row>
    <ns0:row r="147">
      <ns0:c r="A147" s="16" t="inlineStr">
        <ns0:is>
          <ns0:t>2026-09-17</ns0:t>
        </ns0:is>
      </ns0:c>
      <ns0:c r="B147" s="16" t="inlineStr">
        <ns0:is>
          <ns0:t>H12025_无形资产购置 / 7_原始输入!B147</ns0:t>
        </ns0:is>
      </ns0:c>
      <ns0:c r="C147" s="41" t="n">
        <ns0:v>117</ns0:v>
      </ns0:c>
      <ns0:c r="D147" s="16" t="inlineStr">
        <ns0:is>
          <ns0:t>2026H1_interim PDF页47/46；53–54/52–53；https://www.hkexnews.hk/listedco/listconews/sehk/2026/0914/2026091401019.pdf</ns0:t>
        </ns0:is>
      </ns0:c>
      <ns0:c r="E147" s="16" t="inlineStr">
        <ns0:is>
          <ns0:t>半年披露；2024 OCF采用港股招股书后列比较数，较美招股书差378千元；单位：人民币千元</ns0:t>
        </ns0:is>
      </ns0:c>
    </ns0:row>
    <ns0:row r="148">
      <ns0:c r="A148" s="16" t="inlineStr">
        <ns0:is>
          <ns0:t>2026-09-17</ns0:t>
        </ns0:is>
      </ns0:c>
      <ns0:c r="B148" s="16" t="inlineStr">
        <ns0:is>
          <ns0:t>H12026_无形资产购置 / 7_原始输入!B148</ns0:t>
        </ns0:is>
      </ns0:c>
      <ns0:c r="C148" s="41" t="n">
        <ns0:v>808</ns0:v>
      </ns0:c>
      <ns0:c r="D148" s="16" t="inlineStr">
        <ns0:is>
          <ns0:t>2026H1_interim PDF页47/46；53–54/52–53；https://www.hkexnews.hk/listedco/listconews/sehk/2026/0914/2026091401019.pdf</ns0:t>
        </ns0:is>
      </ns0:c>
      <ns0:c r="E148" s="16" t="inlineStr">
        <ns0:is>
          <ns0:t>半年披露；2024 OCF采用港股招股书后列比较数，较美招股书差378千元；单位：人民币千元</ns0:t>
        </ns0:is>
      </ns0:c>
    </ns0:row>
    <ns0:row r="149">
      <ns0:c r="A149" s="16" t="inlineStr">
        <ns0:is>
          <ns0:t>2026-09-17</ns0:t>
        </ns0:is>
      </ns0:c>
      <ns0:c r="B149" s="16" t="inlineStr">
        <ns0:is>
          <ns0:t>H12023_投资现金流 / 7_原始输入!B149</ns0:t>
        </ns0:is>
      </ns0:c>
      <ns0:c r="C149" s="41" t="n">
        <ns0:v>-555576</ns0:v>
      </ns0:c>
      <ns0:c r="D149" s="16" t="inlineStr">
        <ns0:is>
          <ns0:t>2024_US_424B4 PDF页355/F-79；361–362/F-85–86；https://ir.weride.ai/static-files/406cbf25-bb49-4020-b913-f9cca1283c6e</ns0:t>
        </ns0:is>
      </ns0:c>
      <ns0:c r="E149" s="16" t="inlineStr">
        <ns0:is>
          <ns0:t>半年披露；2024 OCF采用港股招股书后列比较数，较美招股书差378千元；单位：人民币千元</ns0:t>
        </ns0:is>
      </ns0:c>
    </ns0:row>
    <ns0:row r="150">
      <ns0:c r="A150" s="16" t="inlineStr">
        <ns0:is>
          <ns0:t>2026-09-17</ns0:t>
        </ns0:is>
      </ns0:c>
      <ns0:c r="B150" s="16" t="inlineStr">
        <ns0:is>
          <ns0:t>H12024_投资现金流 / 7_原始输入!B150</ns0:t>
        </ns0:is>
      </ns0:c>
      <ns0:c r="C150" s="41" t="n">
        <ns0:v>453236</ns0:v>
      </ns0:c>
      <ns0:c r="D150" s="16" t="inlineStr">
        <ns0:is>
          <ns0:t>2024_US_424B4 PDF页355/F-79；361–362/F-85–86；https://ir.weride.ai/static-files/406cbf25-bb49-4020-b913-f9cca1283c6e</ns0:t>
        </ns0:is>
      </ns0:c>
      <ns0:c r="E150" s="16" t="inlineStr">
        <ns0:is>
          <ns0:t>半年披露；2024 OCF采用港股招股书后列比较数，较美招股书差378千元；单位：人民币千元</ns0:t>
        </ns0:is>
      </ns0:c>
    </ns0:row>
    <ns0:row r="151">
      <ns0:c r="A151" s="16" t="inlineStr">
        <ns0:is>
          <ns0:t>2026-09-17</ns0:t>
        </ns0:is>
      </ns0:c>
      <ns0:c r="B151" s="16" t="inlineStr">
        <ns0:is>
          <ns0:t>H12025_投资现金流 / 7_原始输入!B151</ns0:t>
        </ns0:is>
      </ns0:c>
      <ns0:c r="C151" s="41" t="n">
        <ns0:v>218699</ns0:v>
      </ns0:c>
      <ns0:c r="D151" s="16" t="inlineStr">
        <ns0:is>
          <ns0:t>2026H1_interim PDF页47/46；53–54/52–53；https://www.hkexnews.hk/listedco/listconews/sehk/2026/0914/2026091401019.pdf</ns0:t>
        </ns0:is>
      </ns0:c>
      <ns0:c r="E151" s="16" t="inlineStr">
        <ns0:is>
          <ns0:t>半年披露；2024 OCF采用港股招股书后列比较数，较美招股书差378千元；单位：人民币千元</ns0:t>
        </ns0:is>
      </ns0:c>
    </ns0:row>
    <ns0:row r="152">
      <ns0:c r="A152" s="16" t="inlineStr">
        <ns0:is>
          <ns0:t>2026-09-17</ns0:t>
        </ns0:is>
      </ns0:c>
      <ns0:c r="B152" s="16" t="inlineStr">
        <ns0:is>
          <ns0:t>H12026_投资现金流 / 7_原始输入!B152</ns0:t>
        </ns0:is>
      </ns0:c>
      <ns0:c r="C152" s="41" t="n">
        <ns0:v>-960615</ns0:v>
      </ns0:c>
      <ns0:c r="D152" s="16" t="inlineStr">
        <ns0:is>
          <ns0:t>2026H1_interim PDF页47/46；53–54/52–53；https://www.hkexnews.hk/listedco/listconews/sehk/2026/0914/2026091401019.pdf</ns0:t>
        </ns0:is>
      </ns0:c>
      <ns0:c r="E152" s="16" t="inlineStr">
        <ns0:is>
          <ns0:t>半年披露；2024 OCF采用港股招股书后列比较数，较美招股书差378千元；单位：人民币千元</ns0:t>
        </ns0:is>
      </ns0:c>
    </ns0:row>
    <ns0:row r="153">
      <ns0:c r="A153" s="16" t="inlineStr">
        <ns0:is>
          <ns0:t>2026-09-17</ns0:t>
        </ns0:is>
      </ns0:c>
      <ns0:c r="B153" s="16" t="inlineStr">
        <ns0:is>
          <ns0:t>H12023_融资现金流 / 7_原始输入!B153</ns0:t>
        </ns0:is>
      </ns0:c>
      <ns0:c r="C153" s="41" t="n">
        <ns0:v>193356</ns0:v>
      </ns0:c>
      <ns0:c r="D153" s="16" t="inlineStr">
        <ns0:is>
          <ns0:t>2024_US_424B4 PDF页355/F-79；361–362/F-85–86；https://ir.weride.ai/static-files/406cbf25-bb49-4020-b913-f9cca1283c6e</ns0:t>
        </ns0:is>
      </ns0:c>
      <ns0:c r="E153" s="16" t="inlineStr">
        <ns0:is>
          <ns0:t>半年披露；2024 OCF采用港股招股书后列比较数，较美招股书差378千元；单位：人民币千元</ns0:t>
        </ns0:is>
      </ns0:c>
    </ns0:row>
    <ns0:row r="154">
      <ns0:c r="A154" s="16" t="inlineStr">
        <ns0:is>
          <ns0:t>2026-09-17</ns0:t>
        </ns0:is>
      </ns0:c>
      <ns0:c r="B154" s="16" t="inlineStr">
        <ns0:is>
          <ns0:t>H12024_融资现金流 / 7_原始输入!B154</ns0:t>
        </ns0:is>
      </ns0:c>
      <ns0:c r="C154" s="41" t="n">
        <ns0:v>-8877</ns0:v>
      </ns0:c>
      <ns0:c r="D154" s="16" t="inlineStr">
        <ns0:is>
          <ns0:t>2025_HK_prospectus PDF页592–593/I-16–17；https://www1.hkexnews.hk/listedco/listconews/sehk/2025/1028/2025102800019.pdf</ns0:t>
        </ns0:is>
      </ns0:c>
      <ns0:c r="E154" s="16" t="inlineStr">
        <ns0:is>
          <ns0:t>半年披露；2024 OCF采用港股招股书后列比较数，较美招股书差378千元；单位：人民币千元</ns0:t>
        </ns0:is>
      </ns0:c>
    </ns0:row>
    <ns0:row r="155">
      <ns0:c r="A155" s="16" t="inlineStr">
        <ns0:is>
          <ns0:t>2026-09-17</ns0:t>
        </ns0:is>
      </ns0:c>
      <ns0:c r="B155" s="16" t="inlineStr">
        <ns0:is>
          <ns0:t>H12025_融资现金流 / 7_原始输入!B155</ns0:t>
        </ns0:is>
      </ns0:c>
      <ns0:c r="C155" s="41" t="n">
        <ns0:v>3899</ns0:v>
      </ns0:c>
      <ns0:c r="D155" s="16" t="inlineStr">
        <ns0:is>
          <ns0:t>2026H1_interim PDF页47/46；53–54/52–53；https://www.hkexnews.hk/listedco/listconews/sehk/2026/0914/2026091401019.pdf</ns0:t>
        </ns0:is>
      </ns0:c>
      <ns0:c r="E155" s="16" t="inlineStr">
        <ns0:is>
          <ns0:t>半年披露；2024 OCF采用港股招股书后列比较数，较美招股书差378千元；单位：人民币千元</ns0:t>
        </ns0:is>
      </ns0:c>
    </ns0:row>
    <ns0:row r="156">
      <ns0:c r="A156" s="16" t="inlineStr">
        <ns0:is>
          <ns0:t>2026-09-17</ns0:t>
        </ns0:is>
      </ns0:c>
      <ns0:c r="B156" s="16" t="inlineStr">
        <ns0:is>
          <ns0:t>H12026_融资现金流 / 7_原始输入!B156</ns0:t>
        </ns0:is>
      </ns0:c>
      <ns0:c r="C156" s="41" t="n">
        <ns0:v>-544316</ns0:v>
      </ns0:c>
      <ns0:c r="D156" s="16" t="inlineStr">
        <ns0:is>
          <ns0:t>2026H1_interim PDF页47/46；53–54/52–53；https://www.hkexnews.hk/listedco/listconews/sehk/2026/0914/2026091401019.pdf</ns0:t>
        </ns0:is>
      </ns0:c>
      <ns0:c r="E156" s="16" t="inlineStr">
        <ns0:is>
          <ns0:t>半年披露；2024 OCF采用港股招股书后列比较数，较美招股书差378千元；单位：人民币千元</ns0:t>
        </ns0:is>
      </ns0:c>
    </ns0:row>
    <ns0:row r="157">
      <ns0:c r="A157" s="16" t="inlineStr">
        <ns0:is>
          <ns0:t>2026-09-17</ns0:t>
        </ns0:is>
      </ns0:c>
      <ns0:c r="B157" s="16" t="inlineStr">
        <ns0:is>
          <ns0:t>H12023_现金 / 7_原始输入!B157</ns0:t>
        </ns0:is>
      </ns0:c>
      <ns0:c r="C157" s="41" t="n">
        <ns0:v>1659970</ns0:v>
      </ns0:c>
      <ns0:c r="D157" s="16" t="inlineStr">
        <ns0:is>
          <ns0:t>2024_US_424B4 PDF页355/F-79；361–362/F-85–86；https://ir.weride.ai/static-files/406cbf25-bb49-4020-b913-f9cca1283c6e</ns0:t>
        </ns0:is>
      </ns0:c>
      <ns0:c r="E157" s="16" t="inlineStr">
        <ns0:is>
          <ns0:t>半年披露；2024 OCF采用港股招股书后列比较数，较美招股书差378千元；单位：人民币千元</ns0:t>
        </ns0:is>
      </ns0:c>
    </ns0:row>
    <ns0:row r="158">
      <ns0:c r="A158" s="16" t="inlineStr">
        <ns0:is>
          <ns0:t>2026-09-17</ns0:t>
        </ns0:is>
      </ns0:c>
      <ns0:c r="B158" s="16" t="inlineStr">
        <ns0:is>
          <ns0:t>H12024_现金 / 7_原始输入!B158</ns0:t>
        </ns0:is>
      </ns0:c>
      <ns0:c r="C158" s="41" t="n">
        <ns0:v>1828943</ns0:v>
      </ns0:c>
      <ns0:c r="D158" s="16" t="inlineStr">
        <ns0:is>
          <ns0:t>2024_US_424B4 PDF页355/F-79；361–362/F-85–86；https://ir.weride.ai/static-files/406cbf25-bb49-4020-b913-f9cca1283c6e</ns0:t>
        </ns0:is>
      </ns0:c>
      <ns0:c r="E158" s="16" t="inlineStr">
        <ns0:is>
          <ns0:t>半年披露；2024 OCF采用港股招股书后列比较数，较美招股书差378千元；单位：人民币千元</ns0:t>
        </ns0:is>
      </ns0:c>
    </ns0:row>
    <ns0:row r="159">
      <ns0:c r="A159" s="16" t="inlineStr">
        <ns0:is>
          <ns0:t>2026-09-17</ns0:t>
        </ns0:is>
      </ns0:c>
      <ns0:c r="B159" s="16" t="inlineStr">
        <ns0:is>
          <ns0:t>H12025_现金 / 7_原始输入!B159</ns0:t>
        </ns0:is>
      </ns0:c>
      <ns0:c r="C159" s="41" t="n">
        <ns0:v>3836137</ns0:v>
      </ns0:c>
      <ns0:c r="D159" s="16" t="inlineStr">
        <ns0:is>
          <ns0:t>2026H1_interim PDF页47/46；53–54/52–53；https://www.hkexnews.hk/listedco/listconews/sehk/2026/0914/2026091401019.pdf</ns0:t>
        </ns0:is>
      </ns0:c>
      <ns0:c r="E159" s="16" t="inlineStr">
        <ns0:is>
          <ns0:t>半年披露；2024 OCF采用港股招股书后列比较数，较美招股书差378千元；单位：人民币千元</ns0:t>
        </ns0:is>
      </ns0:c>
    </ns0:row>
    <ns0:row r="160">
      <ns0:c r="A160" s="16" t="inlineStr">
        <ns0:is>
          <ns0:t>2026-09-17</ns0:t>
        </ns0:is>
      </ns0:c>
      <ns0:c r="B160" s="16" t="inlineStr">
        <ns0:is>
          <ns0:t>H12026_现金 / 7_原始输入!B160</ns0:t>
        </ns0:is>
      </ns0:c>
      <ns0:c r="C160" s="41" t="n">
        <ns0:v>4275014</ns0:v>
      </ns0:c>
      <ns0:c r="D160" s="16" t="inlineStr">
        <ns0:is>
          <ns0:t>2026H1_interim PDF页47/46；53–54/52–53；https://www.hkexnews.hk/listedco/listconews/sehk/2026/0914/2026091401019.pdf</ns0:t>
        </ns0:is>
      </ns0:c>
      <ns0:c r="E160" s="16" t="inlineStr">
        <ns0:is>
          <ns0:t>半年披露；2024 OCF采用港股招股书后列比较数，较美招股书差378千元；单位：人民币千元</ns0:t>
        </ns0:is>
      </ns0:c>
    </ns0:row>
    <ns0:row r="161">
      <ns0:c r="A161" s="16" t="inlineStr">
        <ns0:is>
          <ns0:t>2026-09-17</ns0:t>
        </ns0:is>
      </ns0:c>
      <ns0:c r="B161" s="16" t="inlineStr">
        <ns0:is>
          <ns0:t>FY2022_总资产 / 7_原始输入!B161</ns0:t>
        </ns0:is>
      </ns0:c>
      <ns0:c r="C161" s="41" t="n">
        <ns0:v>5385391</ns0:v>
      </ns0:c>
      <ns0:c r="D161" s="16" t="inlineStr">
        <ns0:is>
          <ns0:t>2024_US_424B4 PDF页281–282/F-5–6；https://ir.weride.ai/static-files/406cbf25-bb49-4020-b913-f9cca1283c6e</ns0:t>
        </ns0:is>
      </ns0:c>
      <ns0:c r="E161" s="16" t="inlineStr">
        <ns0:is>
          <ns0:t>披露；单位：人民币千元</ns0:t>
        </ns0:is>
      </ns0:c>
    </ns0:row>
    <ns0:row r="162">
      <ns0:c r="A162" s="16" t="inlineStr">
        <ns0:is>
          <ns0:t>2026-09-17</ns0:t>
        </ns0:is>
      </ns0:c>
      <ns0:c r="B162" s="16" t="inlineStr">
        <ns0:is>
          <ns0:t>FY2023_总资产 / 7_原始输入!B162</ns0:t>
        </ns0:is>
      </ns0:c>
      <ns0:c r="C162" s="41" t="n">
        <ns0:v>5614258</ns0:v>
      </ns0:c>
      <ns0:c r="D162" s="16" t="inlineStr">
        <ns0:is>
          <ns0:t>FY2024_20F PDF页171–172/F-5–6；https://ir.weride.ai/static-files/72a895d1-7999-4f63-9d97-476c54e7ecab</ns0:t>
        </ns0:is>
      </ns0:c>
      <ns0:c r="E162" s="16" t="inlineStr">
        <ns0:is>
          <ns0:t>披露；单位：人民币千元</ns0:t>
        </ns0:is>
      </ns0:c>
    </ns0:row>
    <ns0:row r="163">
      <ns0:c r="A163" s="16" t="inlineStr">
        <ns0:is>
          <ns0:t>2026-09-17</ns0:t>
        </ns0:is>
      </ns0:c>
      <ns0:c r="B163" s="16" t="inlineStr">
        <ns0:is>
          <ns0:t>FY2024_总资产 / 7_原始输入!B163</ns0:t>
        </ns0:is>
      </ns0:c>
      <ns0:c r="C163" s="41" t="n">
        <ns0:v>7693770</ns0:v>
      </ns0:c>
      <ns0:c r="D163" s="16" t="inlineStr">
        <ns0:is>
          <ns0:t>FY2025_20F PDF页173–174/F-6–7；https://ir.weride.ai/system/files-encrypted/nasdaq_kms/assets/2026/04/23/10-08-17/20-F.pdf</ns0:t>
        </ns0:is>
      </ns0:c>
      <ns0:c r="E163" s="16" t="inlineStr">
        <ns0:is>
          <ns0:t>披露；单位：人民币千元</ns0:t>
        </ns0:is>
      </ns0:c>
    </ns0:row>
    <ns0:row r="164">
      <ns0:c r="A164" s="16" t="inlineStr">
        <ns0:is>
          <ns0:t>2026-09-17</ns0:t>
        </ns0:is>
      </ns0:c>
      <ns0:c r="B164" s="16" t="inlineStr">
        <ns0:is>
          <ns0:t>FY2025_总资产 / 7_原始输入!B164</ns0:t>
        </ns0:is>
      </ns0:c>
      <ns0:c r="C164" s="41" t="n">
        <ns0:v>8935925</ns0:v>
      </ns0:c>
      <ns0:c r="D164" s="16" t="inlineStr">
        <ns0:is>
          <ns0:t>FY2025_20F PDF页173–174/F-6–7；https://ir.weride.ai/system/files-encrypted/nasdaq_kms/assets/2026/04/23/10-08-17/20-F.pdf</ns0:t>
        </ns0:is>
      </ns0:c>
      <ns0:c r="E164" s="16" t="inlineStr">
        <ns0:is>
          <ns0:t>披露；单位：人民币千元</ns0:t>
        </ns0:is>
      </ns0:c>
    </ns0:row>
    <ns0:row r="165">
      <ns0:c r="A165" s="16" t="inlineStr">
        <ns0:is>
          <ns0:t>2026-09-17</ns0:t>
        </ns0:is>
      </ns0:c>
      <ns0:c r="B165" s="16" t="inlineStr">
        <ns0:is>
          <ns0:t>H12026_总资产 / 7_原始输入!B165</ns0:t>
        </ns0:is>
      </ns0:c>
      <ns0:c r="C165" s="41" t="n">
        <ns0:v>7755416</ns0:v>
      </ns0:c>
      <ns0:c r="D165" s="16" t="inlineStr">
        <ns0:is>
          <ns0:t>2026H1_interim PDF页49–50/48–49；66–67/65–66；https://www.hkexnews.hk/listedco/listconews/sehk/2026/0914/2026091401019.pdf</ns0:t>
        </ns0:is>
      </ns0:c>
      <ns0:c r="E165" s="16" t="inlineStr">
        <ns0:is>
          <ns0:t>披露；单位：人民币千元</ns0:t>
        </ns0:is>
      </ns0:c>
    </ns0:row>
    <ns0:row r="166">
      <ns0:c r="A166" s="16" t="inlineStr">
        <ns0:is>
          <ns0:t>2026-09-17</ns0:t>
        </ns0:is>
      </ns0:c>
      <ns0:c r="B166" s="16" t="inlineStr">
        <ns0:is>
          <ns0:t>FY2022_归母权益 / 7_原始输入!B166</ns0:t>
        </ns0:is>
      </ns0:c>
      <ns0:c r="C166" s="41" t="n">
        <ns0:v>-2082116</ns0:v>
      </ns0:c>
      <ns0:c r="D166" s="16" t="inlineStr">
        <ns0:is>
          <ns0:t>2024_US_424B4 PDF页281–282/F-5–6；https://ir.weride.ai/static-files/406cbf25-bb49-4020-b913-f9cca1283c6e</ns0:t>
        </ns0:is>
      </ns0:c>
      <ns0:c r="E166" s="16" t="inlineStr">
        <ns0:is>
          <ns0:t>披露；单位：人民币千元</ns0:t>
        </ns0:is>
      </ns0:c>
    </ns0:row>
    <ns0:row r="167">
      <ns0:c r="A167" s="16" t="inlineStr">
        <ns0:is>
          <ns0:t>2026-09-17</ns0:t>
        </ns0:is>
      </ns0:c>
      <ns0:c r="B167" s="16" t="inlineStr">
        <ns0:is>
          <ns0:t>FY2023_归母权益 / 7_原始输入!B167</ns0:t>
        </ns0:is>
      </ns0:c>
      <ns0:c r="C167" s="41" t="n">
        <ns0:v>-3051918</ns0:v>
      </ns0:c>
      <ns0:c r="D167" s="16" t="inlineStr">
        <ns0:is>
          <ns0:t>FY2024_20F PDF页171–172/F-5–6；https://ir.weride.ai/static-files/72a895d1-7999-4f63-9d97-476c54e7ecab</ns0:t>
        </ns0:is>
      </ns0:c>
      <ns0:c r="E167" s="16" t="inlineStr">
        <ns0:is>
          <ns0:t>披露；单位：人民币千元</ns0:t>
        </ns0:is>
      </ns0:c>
    </ns0:row>
    <ns0:row r="168">
      <ns0:c r="A168" s="16" t="inlineStr">
        <ns0:is>
          <ns0:t>2026-09-17</ns0:t>
        </ns0:is>
      </ns0:c>
      <ns0:c r="B168" s="16" t="inlineStr">
        <ns0:is>
          <ns0:t>FY2024_归母权益 / 7_原始输入!B168</ns0:t>
        </ns0:is>
      </ns0:c>
      <ns0:c r="C168" s="41" t="n">
        <ns0:v>7066019</ns0:v>
      </ns0:c>
      <ns0:c r="D168" s="16" t="inlineStr">
        <ns0:is>
          <ns0:t>FY2025_20F PDF页173–174/F-6–7；https://ir.weride.ai/system/files-encrypted/nasdaq_kms/assets/2026/04/23/10-08-17/20-F.pdf</ns0:t>
        </ns0:is>
      </ns0:c>
      <ns0:c r="E168" s="16" t="inlineStr">
        <ns0:is>
          <ns0:t>披露；单位：人民币千元</ns0:t>
        </ns0:is>
      </ns0:c>
    </ns0:row>
    <ns0:row r="169">
      <ns0:c r="A169" s="16" t="inlineStr">
        <ns0:is>
          <ns0:t>2026-09-17</ns0:t>
        </ns0:is>
      </ns0:c>
      <ns0:c r="B169" s="16" t="inlineStr">
        <ns0:is>
          <ns0:t>FY2025_归母权益 / 7_原始输入!B169</ns0:t>
        </ns0:is>
      </ns0:c>
      <ns0:c r="C169" s="41" t="n">
        <ns0:v>7900174</ns0:v>
      </ns0:c>
      <ns0:c r="D169" s="16" t="inlineStr">
        <ns0:is>
          <ns0:t>FY2025_20F PDF页173–174/F-6–7；https://ir.weride.ai/system/files-encrypted/nasdaq_kms/assets/2026/04/23/10-08-17/20-F.pdf</ns0:t>
        </ns0:is>
      </ns0:c>
      <ns0:c r="E169" s="16" t="inlineStr">
        <ns0:is>
          <ns0:t>披露；单位：人民币千元</ns0:t>
        </ns0:is>
      </ns0:c>
    </ns0:row>
    <ns0:row r="170">
      <ns0:c r="A170" s="16" t="inlineStr">
        <ns0:is>
          <ns0:t>2026-09-17</ns0:t>
        </ns0:is>
      </ns0:c>
      <ns0:c r="B170" s="16" t="inlineStr">
        <ns0:is>
          <ns0:t>H12026_归母权益 / 7_原始输入!B170</ns0:t>
        </ns0:is>
      </ns0:c>
      <ns0:c r="C170" s="41" t="n">
        <ns0:v>6395302</ns0:v>
      </ns0:c>
      <ns0:c r="D170" s="16" t="inlineStr">
        <ns0:is>
          <ns0:t>2026H1_interim PDF页49–50/48–49；66–67/65–66；https://www.hkexnews.hk/listedco/listconews/sehk/2026/0914/2026091401019.pdf</ns0:t>
        </ns0:is>
      </ns0:c>
      <ns0:c r="E170" s="16" t="inlineStr">
        <ns0:is>
          <ns0:t>披露；单位：人民币千元</ns0:t>
        </ns0:is>
      </ns0:c>
    </ns0:row>
    <ns0:row r="171">
      <ns0:c r="A171" s="16" t="inlineStr">
        <ns0:is>
          <ns0:t>2026-09-17</ns0:t>
        </ns0:is>
      </ns0:c>
      <ns0:c r="B171" s="16" t="inlineStr">
        <ns0:is>
          <ns0:t>FY2022_短期贷款 / 7_原始输入!B171</ns0:t>
        </ns0:is>
      </ns0:c>
      <ns0:c r="C171" s="41" t="n">
        <ns0:v>0</ns0:v>
      </ns0:c>
      <ns0:c r="D171" s="16" t="inlineStr">
        <ns0:is>
          <ns0:t>2024_US_424B4 PDF页281–282/F-5–6；https://ir.weride.ai/static-files/406cbf25-bb49-4020-b913-f9cca1283c6e</ns0:t>
        </ns0:is>
      </ns0:c>
      <ns0:c r="E171" s="16" t="inlineStr">
        <ns0:is>
          <ns0:t>披露；单位：人民币千元</ns0:t>
        </ns0:is>
      </ns0:c>
    </ns0:row>
    <ns0:row r="172">
      <ns0:c r="A172" s="16" t="inlineStr">
        <ns0:is>
          <ns0:t>2026-09-17</ns0:t>
        </ns0:is>
      </ns0:c>
      <ns0:c r="B172" s="16" t="inlineStr">
        <ns0:is>
          <ns0:t>FY2023_短期贷款 / 7_原始输入!B172</ns0:t>
        </ns0:is>
      </ns0:c>
      <ns0:c r="C172" s="41" t="n">
        <ns0:v>0</ns0:v>
      </ns0:c>
      <ns0:c r="D172" s="16" t="inlineStr">
        <ns0:is>
          <ns0:t>FY2024_20F PDF页171–172/F-5–6；https://ir.weride.ai/static-files/72a895d1-7999-4f63-9d97-476c54e7ecab</ns0:t>
        </ns0:is>
      </ns0:c>
      <ns0:c r="E172" s="16" t="inlineStr">
        <ns0:is>
          <ns0:t>披露；单位：人民币千元</ns0:t>
        </ns0:is>
      </ns0:c>
    </ns0:row>
    <ns0:row r="173">
      <ns0:c r="A173" s="16" t="inlineStr">
        <ns0:is>
          <ns0:t>2026-09-17</ns0:t>
        </ns0:is>
      </ns0:c>
      <ns0:c r="B173" s="16" t="inlineStr">
        <ns0:is>
          <ns0:t>FY2024_短期贷款 / 7_原始输入!B173</ns0:t>
        </ns0:is>
      </ns0:c>
      <ns0:c r="C173" s="41" t="n">
        <ns0:v>30019</ns0:v>
      </ns0:c>
      <ns0:c r="D173" s="16" t="inlineStr">
        <ns0:is>
          <ns0:t>FY2025_20F PDF页173–174/F-6–7；https://ir.weride.ai/system/files-encrypted/nasdaq_kms/assets/2026/04/23/10-08-17/20-F.pdf</ns0:t>
        </ns0:is>
      </ns0:c>
      <ns0:c r="E173" s="16" t="inlineStr">
        <ns0:is>
          <ns0:t>披露；单位：人民币千元</ns0:t>
        </ns0:is>
      </ns0:c>
    </ns0:row>
    <ns0:row r="174">
      <ns0:c r="A174" s="16" t="inlineStr">
        <ns0:is>
          <ns0:t>2026-09-17</ns0:t>
        </ns0:is>
      </ns0:c>
      <ns0:c r="B174" s="16" t="inlineStr">
        <ns0:is>
          <ns0:t>FY2025_短期贷款 / 7_原始输入!B174</ns0:t>
        </ns0:is>
      </ns0:c>
      <ns0:c r="C174" s="41" t="n">
        <ns0:v>324263</ns0:v>
      </ns0:c>
      <ns0:c r="D174" s="16" t="inlineStr">
        <ns0:is>
          <ns0:t>FY2025_20F PDF页173–174/F-6–7；https://ir.weride.ai/system/files-encrypted/nasdaq_kms/assets/2026/04/23/10-08-17/20-F.pdf</ns0:t>
        </ns0:is>
      </ns0:c>
      <ns0:c r="E174" s="16" t="inlineStr">
        <ns0:is>
          <ns0:t>披露；单位：人民币千元</ns0:t>
        </ns0:is>
      </ns0:c>
    </ns0:row>
    <ns0:row r="175">
      <ns0:c r="A175" s="16" t="inlineStr">
        <ns0:is>
          <ns0:t>2026-09-17</ns0:t>
        </ns0:is>
      </ns0:c>
      <ns0:c r="B175" s="16" t="inlineStr">
        <ns0:is>
          <ns0:t>H12026_短期贷款 / 7_原始输入!B175</ns0:t>
        </ns0:is>
      </ns0:c>
      <ns0:c r="C175" s="41" t="n">
        <ns0:v>485047</ns0:v>
      </ns0:c>
      <ns0:c r="D175" s="16" t="inlineStr">
        <ns0:is>
          <ns0:t>2026H1_interim PDF页49–50/48–49；66–67/65–66；https://www.hkexnews.hk/listedco/listconews/sehk/2026/0914/2026091401019.pdf</ns0:t>
        </ns0:is>
      </ns0:c>
      <ns0:c r="E175" s="16" t="inlineStr">
        <ns0:is>
          <ns0:t>披露；单位：人民币千元</ns0:t>
        </ns0:is>
      </ns0:c>
    </ns0:row>
    <ns0:row r="176">
      <ns0:c r="A176" s="16" t="inlineStr">
        <ns0:is>
          <ns0:t>2026-09-17</ns0:t>
        </ns0:is>
      </ns0:c>
      <ns0:c r="B176" s="16" t="inlineStr">
        <ns0:is>
          <ns0:t>FY2022_长期贷款 / 7_原始输入!B176</ns0:t>
        </ns0:is>
      </ns0:c>
      <ns0:c r="C176" s="41" t="n">
        <ns0:v>0</ns0:v>
      </ns0:c>
      <ns0:c r="D176" s="16" t="inlineStr">
        <ns0:is>
          <ns0:t>2024_US_424B4 PDF页281–282/F-5–6；https://ir.weride.ai/static-files/406cbf25-bb49-4020-b913-f9cca1283c6e</ns0:t>
        </ns0:is>
      </ns0:c>
      <ns0:c r="E176" s="16" t="inlineStr">
        <ns0:is>
          <ns0:t>披露；单位：人民币千元</ns0:t>
        </ns0:is>
      </ns0:c>
    </ns0:row>
    <ns0:row r="177">
      <ns0:c r="A177" s="16" t="inlineStr">
        <ns0:is>
          <ns0:t>2026-09-17</ns0:t>
        </ns0:is>
      </ns0:c>
      <ns0:c r="B177" s="16" t="inlineStr">
        <ns0:is>
          <ns0:t>FY2023_长期贷款 / 7_原始输入!B177</ns0:t>
        </ns0:is>
      </ns0:c>
      <ns0:c r="C177" s="41" t="n">
        <ns0:v>0</ns0:v>
      </ns0:c>
      <ns0:c r="D177" s="16" t="inlineStr">
        <ns0:is>
          <ns0:t>FY2024_20F PDF页171–172/F-5–6；https://ir.weride.ai/static-files/72a895d1-7999-4f63-9d97-476c54e7ecab</ns0:t>
        </ns0:is>
      </ns0:c>
      <ns0:c r="E177" s="16" t="inlineStr">
        <ns0:is>
          <ns0:t>披露；单位：人民币千元</ns0:t>
        </ns0:is>
      </ns0:c>
    </ns0:row>
    <ns0:row r="178">
      <ns0:c r="A178" s="16" t="inlineStr">
        <ns0:is>
          <ns0:t>2026-09-17</ns0:t>
        </ns0:is>
      </ns0:c>
      <ns0:c r="B178" s="16" t="inlineStr">
        <ns0:is>
          <ns0:t>FY2024_长期贷款 / 7_原始输入!B178</ns0:t>
        </ns0:is>
      </ns0:c>
      <ns0:c r="C178" s="41" t="n">
        <ns0:v>50040</ns0:v>
      </ns0:c>
      <ns0:c r="D178" s="16" t="inlineStr">
        <ns0:is>
          <ns0:t>FY2025_20F PDF页173–174/F-6–7；https://ir.weride.ai/system/files-encrypted/nasdaq_kms/assets/2026/04/23/10-08-17/20-F.pdf</ns0:t>
        </ns0:is>
      </ns0:c>
      <ns0:c r="E178" s="16" t="inlineStr">
        <ns0:is>
          <ns0:t>披露；单位：人民币千元</ns0:t>
        </ns0:is>
      </ns0:c>
    </ns0:row>
    <ns0:row r="179">
      <ns0:c r="A179" s="16" t="inlineStr">
        <ns0:is>
          <ns0:t>2026-09-17</ns0:t>
        </ns0:is>
      </ns0:c>
      <ns0:c r="B179" s="16" t="inlineStr">
        <ns0:is>
          <ns0:t>FY2025_长期贷款 / 7_原始输入!B179</ns0:t>
        </ns0:is>
      </ns0:c>
      <ns0:c r="C179" s="41" t="n">
        <ns0:v>0</ns0:v>
      </ns0:c>
      <ns0:c r="D179" s="16" t="inlineStr">
        <ns0:is>
          <ns0:t>FY2025_20F PDF页173–174/F-6–7；https://ir.weride.ai/system/files-encrypted/nasdaq_kms/assets/2026/04/23/10-08-17/20-F.pdf</ns0:t>
        </ns0:is>
      </ns0:c>
      <ns0:c r="E179" s="16" t="inlineStr">
        <ns0:is>
          <ns0:t>披露；单位：人民币千元</ns0:t>
        </ns0:is>
      </ns0:c>
    </ns0:row>
    <ns0:row r="180">
      <ns0:c r="A180" s="16" t="inlineStr">
        <ns0:is>
          <ns0:t>2026-09-17</ns0:t>
        </ns0:is>
      </ns0:c>
      <ns0:c r="B180" s="16" t="inlineStr">
        <ns0:is>
          <ns0:t>H12026_长期贷款 / 7_原始输入!B180</ns0:t>
        </ns0:is>
      </ns0:c>
      <ns0:c r="C180" s="41" t="n">
        <ns0:v>0</ns0:v>
      </ns0:c>
      <ns0:c r="D180" s="16" t="inlineStr">
        <ns0:is>
          <ns0:t>2026H1_interim PDF页49–50/48–49；66–67/65–66；https://www.hkexnews.hk/listedco/listconews/sehk/2026/0914/2026091401019.pdf</ns0:t>
        </ns0:is>
      </ns0:c>
      <ns0:c r="E180" s="16" t="inlineStr">
        <ns0:is>
          <ns0:t>披露；单位：人民币千元</ns0:t>
        </ns0:is>
      </ns0:c>
    </ns0:row>
    <ns0:row r="181">
      <ns0:c r="A181" s="16" t="inlineStr">
        <ns0:is>
          <ns0:t>2026-09-17</ns0:t>
        </ns0:is>
      </ns0:c>
      <ns0:c r="B181" s="16" t="inlineStr">
        <ns0:is>
          <ns0:t>FY2022_租赁流动 / 7_原始输入!B181</ns0:t>
        </ns0:is>
      </ns0:c>
      <ns0:c r="C181" s="41" t="n">
        <ns0:v>32009</ns0:v>
      </ns0:c>
      <ns0:c r="D181" s="16" t="inlineStr">
        <ns0:is>
          <ns0:t>2024_US_424B4 PDF页281–282/F-5–6；https://ir.weride.ai/static-files/406cbf25-bb49-4020-b913-f9cca1283c6e</ns0:t>
        </ns0:is>
      </ns0:c>
      <ns0:c r="E181" s="16" t="inlineStr">
        <ns0:is>
          <ns0:t>披露；单位：人民币千元</ns0:t>
        </ns0:is>
      </ns0:c>
    </ns0:row>
    <ns0:row r="182">
      <ns0:c r="A182" s="16" t="inlineStr">
        <ns0:is>
          <ns0:t>2026-09-17</ns0:t>
        </ns0:is>
      </ns0:c>
      <ns0:c r="B182" s="16" t="inlineStr">
        <ns0:is>
          <ns0:t>FY2023_租赁流动 / 7_原始输入!B182</ns0:t>
        </ns0:is>
      </ns0:c>
      <ns0:c r="C182" s="41" t="n">
        <ns0:v>31098</ns0:v>
      </ns0:c>
      <ns0:c r="D182" s="16" t="inlineStr">
        <ns0:is>
          <ns0:t>FY2024_20F PDF页171–172/F-5–6；https://ir.weride.ai/static-files/72a895d1-7999-4f63-9d97-476c54e7ecab</ns0:t>
        </ns0:is>
      </ns0:c>
      <ns0:c r="E182" s="16" t="inlineStr">
        <ns0:is>
          <ns0:t>披露；单位：人民币千元</ns0:t>
        </ns0:is>
      </ns0:c>
    </ns0:row>
    <ns0:row r="183">
      <ns0:c r="A183" s="16" t="inlineStr">
        <ns0:is>
          <ns0:t>2026-09-17</ns0:t>
        </ns0:is>
      </ns0:c>
      <ns0:c r="B183" s="16" t="inlineStr">
        <ns0:is>
          <ns0:t>FY2024_租赁流动 / 7_原始输入!B183</ns0:t>
        </ns0:is>
      </ns0:c>
      <ns0:c r="C183" s="41" t="n">
        <ns0:v>36900</ns0:v>
      </ns0:c>
      <ns0:c r="D183" s="16" t="inlineStr">
        <ns0:is>
          <ns0:t>FY2025_20F PDF页173–174/F-6–7；https://ir.weride.ai/system/files-encrypted/nasdaq_kms/assets/2026/04/23/10-08-17/20-F.pdf</ns0:t>
        </ns0:is>
      </ns0:c>
      <ns0:c r="E183" s="16" t="inlineStr">
        <ns0:is>
          <ns0:t>披露；单位：人民币千元</ns0:t>
        </ns0:is>
      </ns0:c>
    </ns0:row>
    <ns0:row r="184">
      <ns0:c r="A184" s="16" t="inlineStr">
        <ns0:is>
          <ns0:t>2026-09-17</ns0:t>
        </ns0:is>
      </ns0:c>
      <ns0:c r="B184" s="16" t="inlineStr">
        <ns0:is>
          <ns0:t>FY2025_租赁流动 / 7_原始输入!B184</ns0:t>
        </ns0:is>
      </ns0:c>
      <ns0:c r="C184" s="41" t="n">
        <ns0:v>31920</ns0:v>
      </ns0:c>
      <ns0:c r="D184" s="16" t="inlineStr">
        <ns0:is>
          <ns0:t>FY2025_20F PDF页173–174/F-6–7；https://ir.weride.ai/system/files-encrypted/nasdaq_kms/assets/2026/04/23/10-08-17/20-F.pdf</ns0:t>
        </ns0:is>
      </ns0:c>
      <ns0:c r="E184" s="16" t="inlineStr">
        <ns0:is>
          <ns0:t>披露；单位：人民币千元</ns0:t>
        </ns0:is>
      </ns0:c>
    </ns0:row>
    <ns0:row r="185">
      <ns0:c r="A185" s="16" t="inlineStr">
        <ns0:is>
          <ns0:t>2026-09-17</ns0:t>
        </ns0:is>
      </ns0:c>
      <ns0:c r="B185" s="16" t="inlineStr">
        <ns0:is>
          <ns0:t>H12026_租赁流动 / 7_原始输入!B185</ns0:t>
        </ns0:is>
      </ns0:c>
      <ns0:c r="C185" s="41" t="n">
        <ns0:v>35390</ns0:v>
      </ns0:c>
      <ns0:c r="D185" s="16" t="inlineStr">
        <ns0:is>
          <ns0:t>2026H1_interim PDF页49–50/48–49；66–67/65–66；https://www.hkexnews.hk/listedco/listconews/sehk/2026/0914/2026091401019.pdf</ns0:t>
        </ns0:is>
      </ns0:c>
      <ns0:c r="E185" s="16" t="inlineStr">
        <ns0:is>
          <ns0:t>披露；单位：人民币千元</ns0:t>
        </ns0:is>
      </ns0:c>
    </ns0:row>
    <ns0:row r="186">
      <ns0:c r="A186" s="16" t="inlineStr">
        <ns0:is>
          <ns0:t>2026-09-17</ns0:t>
        </ns0:is>
      </ns0:c>
      <ns0:c r="B186" s="16" t="inlineStr">
        <ns0:is>
          <ns0:t>FY2022_租赁非流动 / 7_原始输入!B186</ns0:t>
        </ns0:is>
      </ns0:c>
      <ns0:c r="C186" s="41" t="n">
        <ns0:v>35864</ns0:v>
      </ns0:c>
      <ns0:c r="D186" s="16" t="inlineStr">
        <ns0:is>
          <ns0:t>2024_US_424B4 PDF页281–282/F-5–6；https://ir.weride.ai/static-files/406cbf25-bb49-4020-b913-f9cca1283c6e</ns0:t>
        </ns0:is>
      </ns0:c>
      <ns0:c r="E186" s="16" t="inlineStr">
        <ns0:is>
          <ns0:t>披露；单位：人民币千元</ns0:t>
        </ns0:is>
      </ns0:c>
    </ns0:row>
    <ns0:row r="187">
      <ns0:c r="A187" s="16" t="inlineStr">
        <ns0:is>
          <ns0:t>2026-09-17</ns0:t>
        </ns0:is>
      </ns0:c>
      <ns0:c r="B187" s="16" t="inlineStr">
        <ns0:is>
          <ns0:t>FY2023_租赁非流动 / 7_原始输入!B187</ns0:t>
        </ns0:is>
      </ns0:c>
      <ns0:c r="C187" s="41" t="n">
        <ns0:v>22309</ns0:v>
      </ns0:c>
      <ns0:c r="D187" s="16" t="inlineStr">
        <ns0:is>
          <ns0:t>FY2024_20F PDF页171–172/F-5–6；https://ir.weride.ai/static-files/72a895d1-7999-4f63-9d97-476c54e7ecab</ns0:t>
        </ns0:is>
      </ns0:c>
      <ns0:c r="E187" s="16" t="inlineStr">
        <ns0:is>
          <ns0:t>披露；单位：人民币千元</ns0:t>
        </ns0:is>
      </ns0:c>
    </ns0:row>
    <ns0:row r="188">
      <ns0:c r="A188" s="16" t="inlineStr">
        <ns0:is>
          <ns0:t>2026-09-17</ns0:t>
        </ns0:is>
      </ns0:c>
      <ns0:c r="B188" s="16" t="inlineStr">
        <ns0:is>
          <ns0:t>FY2024_租赁非流动 / 7_原始输入!B188</ns0:t>
        </ns0:is>
      </ns0:c>
      <ns0:c r="C188" s="41" t="n">
        <ns0:v>26059</ns0:v>
      </ns0:c>
      <ns0:c r="D188" s="16" t="inlineStr">
        <ns0:is>
          <ns0:t>FY2025_20F PDF页173–174/F-6–7；https://ir.weride.ai/system/files-encrypted/nasdaq_kms/assets/2026/04/23/10-08-17/20-F.pdf</ns0:t>
        </ns0:is>
      </ns0:c>
      <ns0:c r="E188" s="16" t="inlineStr">
        <ns0:is>
          <ns0:t>披露；单位：人民币千元</ns0:t>
        </ns0:is>
      </ns0:c>
    </ns0:row>
    <ns0:row r="189">
      <ns0:c r="A189" s="16" t="inlineStr">
        <ns0:is>
          <ns0:t>2026-09-17</ns0:t>
        </ns0:is>
      </ns0:c>
      <ns0:c r="B189" s="16" t="inlineStr">
        <ns0:is>
          <ns0:t>FY2025_租赁非流动 / 7_原始输入!B189</ns0:t>
        </ns0:is>
      </ns0:c>
      <ns0:c r="C189" s="41" t="n">
        <ns0:v>23241</ns0:v>
      </ns0:c>
      <ns0:c r="D189" s="16" t="inlineStr">
        <ns0:is>
          <ns0:t>FY2025_20F PDF页173–174/F-6–7；https://ir.weride.ai/system/files-encrypted/nasdaq_kms/assets/2026/04/23/10-08-17/20-F.pdf</ns0:t>
        </ns0:is>
      </ns0:c>
      <ns0:c r="E189" s="16" t="inlineStr">
        <ns0:is>
          <ns0:t>披露；单位：人民币千元</ns0:t>
        </ns0:is>
      </ns0:c>
    </ns0:row>
    <ns0:row r="190">
      <ns0:c r="A190" s="16" t="inlineStr">
        <ns0:is>
          <ns0:t>2026-09-17</ns0:t>
        </ns0:is>
      </ns0:c>
      <ns0:c r="B190" s="16" t="inlineStr">
        <ns0:is>
          <ns0:t>H12026_租赁非流动 / 7_原始输入!B190</ns0:t>
        </ns0:is>
      </ns0:c>
      <ns0:c r="C190" s="41" t="n">
        <ns0:v>95397</ns0:v>
      </ns0:c>
      <ns0:c r="D190" s="16" t="inlineStr">
        <ns0:is>
          <ns0:t>2026H1_interim PDF页49–50/48–49；66–67/65–66；https://www.hkexnews.hk/listedco/listconews/sehk/2026/0914/2026091401019.pdf</ns0:t>
        </ns0:is>
      </ns0:c>
      <ns0:c r="E190" s="16" t="inlineStr">
        <ns0:is>
          <ns0:t>披露；单位：人民币千元</ns0:t>
        </ns0:is>
      </ns0:c>
    </ns0:row>
    <ns0:row r="191">
      <ns0:c r="A191" s="16" t="inlineStr">
        <ns0:is>
          <ns0:t>2026-09-17</ns0:t>
        </ns0:is>
      </ns0:c>
      <ns0:c r="B191" s="16" t="inlineStr">
        <ns0:is>
          <ns0:t>FY2022_贸易应收净额 / 7_原始输入!B191</ns0:t>
        </ns0:is>
      </ns0:c>
      <ns0:c r="C191" s="41" t="n">
        <ns0:v>236390</ns0:v>
      </ns0:c>
      <ns0:c r="D191" s="16" t="inlineStr">
        <ns0:is>
          <ns0:t>2024_US_424B4 PDF页281–282/F-5–6；https://ir.weride.ai/static-files/406cbf25-bb49-4020-b913-f9cca1283c6e</ns0:t>
        </ns0:is>
      </ns0:c>
      <ns0:c r="E191" s="16" t="inlineStr">
        <ns0:is>
          <ns0:t>披露；单位：人民币千元</ns0:t>
        </ns0:is>
      </ns0:c>
    </ns0:row>
    <ns0:row r="192">
      <ns0:c r="A192" s="16" t="inlineStr">
        <ns0:is>
          <ns0:t>2026-09-17</ns0:t>
        </ns0:is>
      </ns0:c>
      <ns0:c r="B192" s="16" t="inlineStr">
        <ns0:is>
          <ns0:t>FY2023_贸易应收净额 / 7_原始输入!B192</ns0:t>
        </ns0:is>
      </ns0:c>
      <ns0:c r="C192" s="41" t="n">
        <ns0:v>266933</ns0:v>
      </ns0:c>
      <ns0:c r="D192" s="16" t="inlineStr">
        <ns0:is>
          <ns0:t>FY2024_20F PDF页171–172/F-5–6；https://ir.weride.ai/static-files/72a895d1-7999-4f63-9d97-476c54e7ecab</ns0:t>
        </ns0:is>
      </ns0:c>
      <ns0:c r="E192" s="16" t="inlineStr">
        <ns0:is>
          <ns0:t>披露；单位：人民币千元</ns0:t>
        </ns0:is>
      </ns0:c>
    </ns0:row>
    <ns0:row r="193">
      <ns0:c r="A193" s="16" t="inlineStr">
        <ns0:is>
          <ns0:t>2026-09-17</ns0:t>
        </ns0:is>
      </ns0:c>
      <ns0:c r="B193" s="16" t="inlineStr">
        <ns0:is>
          <ns0:t>FY2024_贸易应收净额 / 7_原始输入!B193</ns0:t>
        </ns0:is>
      </ns0:c>
      <ns0:c r="C193" s="41" t="n">
        <ns0:v>252607</ns0:v>
      </ns0:c>
      <ns0:c r="D193" s="16" t="inlineStr">
        <ns0:is>
          <ns0:t>FY2025_20F PDF页173–174/F-6–7；https://ir.weride.ai/system/files-encrypted/nasdaq_kms/assets/2026/04/23/10-08-17/20-F.pdf</ns0:t>
        </ns0:is>
      </ns0:c>
      <ns0:c r="E193" s="16" t="inlineStr">
        <ns0:is>
          <ns0:t>披露；单位：人民币千元</ns0:t>
        </ns0:is>
      </ns0:c>
    </ns0:row>
    <ns0:row r="194">
      <ns0:c r="A194" s="16" t="inlineStr">
        <ns0:is>
          <ns0:t>2026-09-17</ns0:t>
        </ns0:is>
      </ns0:c>
      <ns0:c r="B194" s="16" t="inlineStr">
        <ns0:is>
          <ns0:t>FY2025_贸易应收净额 / 7_原始输入!B194</ns0:t>
        </ns0:is>
      </ns0:c>
      <ns0:c r="C194" s="41" t="n">
        <ns0:v>462135</ns0:v>
      </ns0:c>
      <ns0:c r="D194" s="16" t="inlineStr">
        <ns0:is>
          <ns0:t>FY2025_20F PDF页173–174/F-6–7；https://ir.weride.ai/system/files-encrypted/nasdaq_kms/assets/2026/04/23/10-08-17/20-F.pdf</ns0:t>
        </ns0:is>
      </ns0:c>
      <ns0:c r="E194" s="16" t="inlineStr">
        <ns0:is>
          <ns0:t>披露；单位：人民币千元</ns0:t>
        </ns0:is>
      </ns0:c>
    </ns0:row>
    <ns0:row r="195">
      <ns0:c r="A195" s="16" t="inlineStr">
        <ns0:is>
          <ns0:t>2026-09-17</ns0:t>
        </ns0:is>
      </ns0:c>
      <ns0:c r="B195" s="16" t="inlineStr">
        <ns0:is>
          <ns0:t>H12026_贸易应收净额 / 7_原始输入!B195</ns0:t>
        </ns0:is>
      </ns0:c>
      <ns0:c r="C195" s="41" t="n">
        <ns0:v>455765</ns0:v>
      </ns0:c>
      <ns0:c r="D195" s="16" t="inlineStr">
        <ns0:is>
          <ns0:t>2026H1_interim PDF页49–50/48–49；66–67/65–66；https://www.hkexnews.hk/listedco/listconews/sehk/2026/0914/2026091401019.pdf</ns0:t>
        </ns0:is>
      </ns0:c>
      <ns0:c r="E195" s="16" t="inlineStr">
        <ns0:is>
          <ns0:t>披露；单位：人民币千元</ns0:t>
        </ns0:is>
      </ns0:c>
    </ns0:row>
    <ns0:row r="196">
      <ns0:c r="A196" s="16" t="inlineStr">
        <ns0:is>
          <ns0:t>2026-09-17</ns0:t>
        </ns0:is>
      </ns0:c>
      <ns0:c r="B196" s="16" t="inlineStr">
        <ns0:is>
          <ns0:t>FY2022_合同资产净额 / 7_原始输入!B196</ns0:t>
        </ns0:is>
      </ns0:c>
      <ns0:c r="C196" s="41" t="n">
        <ns0:v>92597</ns0:v>
      </ns0:c>
      <ns0:c r="D196" s="16" t="inlineStr">
        <ns0:is>
          <ns0:t>2024_US_424B4 PDF页281–282/F-5–6；https://ir.weride.ai/static-files/406cbf25-bb49-4020-b913-f9cca1283c6e</ns0:t>
        </ns0:is>
      </ns0:c>
      <ns0:c r="E196" s="16" t="inlineStr">
        <ns0:is>
          <ns0:t>披露；单位：人民币千元</ns0:t>
        </ns0:is>
      </ns0:c>
    </ns0:row>
    <ns0:row r="197">
      <ns0:c r="A197" s="16" t="inlineStr">
        <ns0:is>
          <ns0:t>2026-09-17</ns0:t>
        </ns0:is>
      </ns0:c>
      <ns0:c r="B197" s="16" t="inlineStr">
        <ns0:is>
          <ns0:t>FY2023_合同资产净额 / 7_原始输入!B197</ns0:t>
        </ns0:is>
      </ns0:c>
      <ns0:c r="C197" s="41" t="n">
        <ns0:v>82826</ns0:v>
      </ns0:c>
      <ns0:c r="D197" s="16" t="inlineStr">
        <ns0:is>
          <ns0:t>FY2024_20F PDF页171–172/F-5–6；https://ir.weride.ai/static-files/72a895d1-7999-4f63-9d97-476c54e7ecab</ns0:t>
        </ns0:is>
      </ns0:c>
      <ns0:c r="E197" s="16" t="inlineStr">
        <ns0:is>
          <ns0:t>披露；单位：人民币千元</ns0:t>
        </ns0:is>
      </ns0:c>
    </ns0:row>
    <ns0:row r="198">
      <ns0:c r="A198" s="16" t="inlineStr">
        <ns0:is>
          <ns0:t>2026-09-17</ns0:t>
        </ns0:is>
      </ns0:c>
      <ns0:c r="B198" s="16" t="inlineStr">
        <ns0:is>
          <ns0:t>FY2024_合同资产净额 / 7_原始输入!B198</ns0:t>
        </ns0:is>
      </ns0:c>
      <ns0:c r="C198" s="41" t="n">
        <ns0:v>28005</ns0:v>
      </ns0:c>
      <ns0:c r="D198" s="16" t="inlineStr">
        <ns0:is>
          <ns0:t>FY2025_20F PDF页173–174/F-6–7；https://ir.weride.ai/system/files-encrypted/nasdaq_kms/assets/2026/04/23/10-08-17/20-F.pdf</ns0:t>
        </ns0:is>
      </ns0:c>
      <ns0:c r="E198" s="16" t="inlineStr">
        <ns0:is>
          <ns0:t>披露；单位：人民币千元</ns0:t>
        </ns0:is>
      </ns0:c>
    </ns0:row>
    <ns0:row r="199">
      <ns0:c r="A199" s="16" t="inlineStr">
        <ns0:is>
          <ns0:t>2026-09-17</ns0:t>
        </ns0:is>
      </ns0:c>
      <ns0:c r="B199" s="16" t="inlineStr">
        <ns0:is>
          <ns0:t>FY2025_合同资产净额 / 7_原始输入!B199</ns0:t>
        </ns0:is>
      </ns0:c>
      <ns0:c r="C199" s="41" t="n">
        <ns0:v>23305</ns0:v>
      </ns0:c>
      <ns0:c r="D199" s="16" t="inlineStr">
        <ns0:is>
          <ns0:t>FY2025_20F PDF页173–174/F-6–7；https://ir.weride.ai/system/files-encrypted/nasdaq_kms/assets/2026/04/23/10-08-17/20-F.pdf</ns0:t>
        </ns0:is>
      </ns0:c>
      <ns0:c r="E199" s="16" t="inlineStr">
        <ns0:is>
          <ns0:t>披露；单位：人民币千元</ns0:t>
        </ns0:is>
      </ns0:c>
    </ns0:row>
    <ns0:row r="200">
      <ns0:c r="A200" s="16" t="inlineStr">
        <ns0:is>
          <ns0:t>2026-09-17</ns0:t>
        </ns0:is>
      </ns0:c>
      <ns0:c r="B200" s="16" t="inlineStr">
        <ns0:is>
          <ns0:t>H12026_合同资产净额 / 7_原始输入!B200</ns0:t>
        </ns0:is>
      </ns0:c>
      <ns0:c r="C200" s="41" t="n">
        <ns0:v>23964</ns0:v>
      </ns0:c>
      <ns0:c r="D200" s="16" t="inlineStr">
        <ns0:is>
          <ns0:t>2026H1_interim PDF页49–50/48–49；66–67/65–66；https://www.hkexnews.hk/listedco/listconews/sehk/2026/0914/2026091401019.pdf</ns0:t>
        </ns0:is>
      </ns0:c>
      <ns0:c r="E200" s="16" t="inlineStr">
        <ns0:is>
          <ns0:t>披露；单位：人民币千元</ns0:t>
        </ns0:is>
      </ns0:c>
    </ns0:row>
    <ns0:row r="201">
      <ns0:c r="A201" s="16" t="inlineStr">
        <ns0:is>
          <ns0:t>2026-09-17</ns0:t>
        </ns0:is>
      </ns0:c>
      <ns0:c r="B201" s="16" t="inlineStr">
        <ns0:is>
          <ns0:t>FY2022_定期存款 / 7_原始输入!B201</ns0:t>
        </ns0:is>
      </ns0:c>
      <ns0:c r="C201" s="41" t="n">
        <ns0:v>1057292</ns0:v>
      </ns0:c>
      <ns0:c r="D201" s="16" t="inlineStr">
        <ns0:is>
          <ns0:t>2024_US_424B4 PDF页281–282/F-5–6；https://ir.weride.ai/static-files/406cbf25-bb49-4020-b913-f9cca1283c6e</ns0:t>
        </ns0:is>
      </ns0:c>
      <ns0:c r="E201" s="16" t="inlineStr">
        <ns0:is>
          <ns0:t>披露；单位：人民币千元</ns0:t>
        </ns0:is>
      </ns0:c>
    </ns0:row>
    <ns0:row r="202">
      <ns0:c r="A202" s="16" t="inlineStr">
        <ns0:is>
          <ns0:t>2026-09-17</ns0:t>
        </ns0:is>
      </ns0:c>
      <ns0:c r="B202" s="16" t="inlineStr">
        <ns0:is>
          <ns0:t>FY2023_定期存款 / 7_原始输入!B202</ns0:t>
        </ns0:is>
      </ns0:c>
      <ns0:c r="C202" s="41" t="n">
        <ns0:v>2550279</ns0:v>
      </ns0:c>
      <ns0:c r="D202" s="16" t="inlineStr">
        <ns0:is>
          <ns0:t>FY2024_20F PDF页171–172/F-5–6；https://ir.weride.ai/static-files/72a895d1-7999-4f63-9d97-476c54e7ecab</ns0:t>
        </ns0:is>
      </ns0:c>
      <ns0:c r="E202" s="16" t="inlineStr">
        <ns0:is>
          <ns0:t>披露；单位：人民币千元</ns0:t>
        </ns0:is>
      </ns0:c>
    </ns0:row>
    <ns0:row r="203">
      <ns0:c r="A203" s="16" t="inlineStr">
        <ns0:is>
          <ns0:t>2026-09-17</ns0:t>
        </ns0:is>
      </ns0:c>
      <ns0:c r="B203" s="16" t="inlineStr">
        <ns0:is>
          <ns0:t>FY2024_定期存款 / 7_原始输入!B203</ns0:t>
        </ns0:is>
      </ns0:c>
      <ns0:c r="C203" s="41" t="n">
        <ns0:v>620148</ns0:v>
      </ns0:c>
      <ns0:c r="D203" s="16" t="inlineStr">
        <ns0:is>
          <ns0:t>FY2025_20F PDF页173–174/F-6–7；https://ir.weride.ai/system/files-encrypted/nasdaq_kms/assets/2026/04/23/10-08-17/20-F.pdf</ns0:t>
        </ns0:is>
      </ns0:c>
      <ns0:c r="E203" s="16" t="inlineStr">
        <ns0:is>
          <ns0:t>披露；单位：人民币千元</ns0:t>
        </ns0:is>
      </ns0:c>
    </ns0:row>
    <ns0:row r="204">
      <ns0:c r="A204" s="16" t="inlineStr">
        <ns0:is>
          <ns0:t>2026-09-17</ns0:t>
        </ns0:is>
      </ns0:c>
      <ns0:c r="B204" s="16" t="inlineStr">
        <ns0:is>
          <ns0:t>FY2025_定期存款 / 7_原始输入!B204</ns0:t>
        </ns0:is>
      </ns0:c>
      <ns0:c r="C204" s="41" t="n">
        <ns0:v>301401</ns0:v>
      </ns0:c>
      <ns0:c r="D204" s="16" t="inlineStr">
        <ns0:is>
          <ns0:t>FY2025_20F PDF页173–174/F-6–7；https://ir.weride.ai/system/files-encrypted/nasdaq_kms/assets/2026/04/23/10-08-17/20-F.pdf</ns0:t>
        </ns0:is>
      </ns0:c>
      <ns0:c r="E204" s="16" t="inlineStr">
        <ns0:is>
          <ns0:t>披露；单位：人民币千元</ns0:t>
        </ns0:is>
      </ns0:c>
    </ns0:row>
    <ns0:row r="205">
      <ns0:c r="A205" s="16" t="inlineStr">
        <ns0:is>
          <ns0:t>2026-09-17</ns0:t>
        </ns0:is>
      </ns0:c>
      <ns0:c r="B205" s="16" t="inlineStr">
        <ns0:is>
          <ns0:t>H12026_定期存款 / 7_原始输入!B205</ns0:t>
        </ns0:is>
      </ns0:c>
      <ns0:c r="C205" s="41" t="n">
        <ns0:v>1099805</ns0:v>
      </ns0:c>
      <ns0:c r="D205" s="16" t="inlineStr">
        <ns0:is>
          <ns0:t>2026H1_interim PDF页49–50/48–49；66–67/65–66；https://www.hkexnews.hk/listedco/listconews/sehk/2026/0914/2026091401019.pdf</ns0:t>
        </ns0:is>
      </ns0:c>
      <ns0:c r="E205" s="16" t="inlineStr">
        <ns0:is>
          <ns0:t>披露；单位：人民币千元</ns0:t>
        </ns0:is>
      </ns0:c>
    </ns0:row>
    <ns0:row r="206">
      <ns0:c r="A206" s="16" t="inlineStr">
        <ns0:is>
          <ns0:t>2026-09-17</ns0:t>
        </ns0:is>
      </ns0:c>
      <ns0:c r="B206" s="16" t="inlineStr">
        <ns0:is>
          <ns0:t>FY2022_流动FVTPL / 7_原始输入!B206</ns0:t>
        </ns0:is>
      </ns0:c>
      <ns0:c r="C206" s="41" t="n">
        <ns0:v>1218524</ns0:v>
      </ns0:c>
      <ns0:c r="D206" s="16" t="inlineStr">
        <ns0:is>
          <ns0:t>2024_US_424B4 PDF页281–282/F-5–6；https://ir.weride.ai/static-files/406cbf25-bb49-4020-b913-f9cca1283c6e</ns0:t>
        </ns0:is>
      </ns0:c>
      <ns0:c r="E206" s="16" t="inlineStr">
        <ns0:is>
          <ns0:t>披露；单位：人民币千元</ns0:t>
        </ns0:is>
      </ns0:c>
    </ns0:row>
    <ns0:row r="207">
      <ns0:c r="A207" s="16" t="inlineStr">
        <ns0:is>
          <ns0:t>2026-09-17</ns0:t>
        </ns0:is>
      </ns0:c>
      <ns0:c r="B207" s="16" t="inlineStr">
        <ns0:is>
          <ns0:t>FY2023_流动FVTPL / 7_原始输入!B207</ns0:t>
        </ns0:is>
      </ns0:c>
      <ns0:c r="C207" s="41" t="n">
        <ns0:v>317042</ns0:v>
      </ns0:c>
      <ns0:c r="D207" s="16" t="inlineStr">
        <ns0:is>
          <ns0:t>FY2024_20F PDF页171–172/F-5–6；https://ir.weride.ai/static-files/72a895d1-7999-4f63-9d97-476c54e7ecab</ns0:t>
        </ns0:is>
      </ns0:c>
      <ns0:c r="E207" s="16" t="inlineStr">
        <ns0:is>
          <ns0:t>披露；单位：人民币千元</ns0:t>
        </ns0:is>
      </ns0:c>
    </ns0:row>
    <ns0:row r="208">
      <ns0:c r="A208" s="16" t="inlineStr">
        <ns0:is>
          <ns0:t>2026-09-17</ns0:t>
        </ns0:is>
      </ns0:c>
      <ns0:c r="B208" s="16" t="inlineStr">
        <ns0:is>
          <ns0:t>FY2024_流动FVTPL / 7_原始输入!B208</ns0:t>
        </ns0:is>
      </ns0:c>
      <ns0:c r="C208" s="41" t="n">
        <ns0:v>1685146</ns0:v>
      </ns0:c>
      <ns0:c r="D208" s="16" t="inlineStr">
        <ns0:is>
          <ns0:t>FY2025_20F PDF页173–174/F-6–7；https://ir.weride.ai/system/files-encrypted/nasdaq_kms/assets/2026/04/23/10-08-17/20-F.pdf</ns0:t>
        </ns0:is>
      </ns0:c>
      <ns0:c r="E208" s="16" t="inlineStr">
        <ns0:is>
          <ns0:t>披露；单位：人民币千元</ns0:t>
        </ns0:is>
      </ns0:c>
    </ns0:row>
    <ns0:row r="209">
      <ns0:c r="A209" s="16" t="inlineStr">
        <ns0:is>
          <ns0:t>2026-09-17</ns0:t>
        </ns0:is>
      </ns0:c>
      <ns0:c r="B209" s="16" t="inlineStr">
        <ns0:is>
          <ns0:t>FY2025_流动FVTPL / 7_原始输入!B209</ns0:t>
        </ns0:is>
      </ns0:c>
      <ns0:c r="C209" s="41" t="n">
        <ns0:v>144252</ns0:v>
      </ns0:c>
      <ns0:c r="D209" s="16" t="inlineStr">
        <ns0:is>
          <ns0:t>FY2025_20F PDF页173–174/F-6–7；https://ir.weride.ai/system/files-encrypted/nasdaq_kms/assets/2026/04/23/10-08-17/20-F.pdf</ns0:t>
        </ns0:is>
      </ns0:c>
      <ns0:c r="E209" s="16" t="inlineStr">
        <ns0:is>
          <ns0:t>披露；单位：人民币千元</ns0:t>
        </ns0:is>
      </ns0:c>
    </ns0:row>
    <ns0:row r="210">
      <ns0:c r="A210" s="16" t="inlineStr">
        <ns0:is>
          <ns0:t>2026-09-17</ns0:t>
        </ns0:is>
      </ns0:c>
      <ns0:c r="B210" s="16" t="inlineStr">
        <ns0:is>
          <ns0:t>H12026_流动FVTPL / 7_原始输入!B210</ns0:t>
        </ns0:is>
      </ns0:c>
      <ns0:c r="C210" s="41" t="n">
        <ns0:v>2293</ns0:v>
      </ns0:c>
      <ns0:c r="D210" s="16" t="inlineStr">
        <ns0:is>
          <ns0:t>2026H1_interim PDF页49–50/48–49；66–67/65–66；https://www.hkexnews.hk/listedco/listconews/sehk/2026/0914/2026091401019.pdf</ns0:t>
        </ns0:is>
      </ns0:c>
      <ns0:c r="E210" s="16" t="inlineStr">
        <ns0:is>
          <ns0:t>披露；单位：人民币千元</ns0:t>
        </ns0:is>
      </ns0:c>
    </ns0:row>
    <ns0:row r="211">
      <ns0:c r="A211" s="16" t="inlineStr">
        <ns0:is>
          <ns0:t>2026-09-17</ns0:t>
        </ns0:is>
      </ns0:c>
      <ns0:c r="B211" s="16" t="inlineStr">
        <ns0:is>
          <ns0:t>FY2023_非流动FVTPL / 7_原始输入!B211</ns0:t>
        </ns0:is>
      </ns0:c>
      <ns0:c r="C211" s="41" t="n">
        <ns0:v>0</ns0:v>
      </ns0:c>
      <ns0:c r="D211" s="16" t="inlineStr">
        <ns0:is>
          <ns0:t>FY2024_20F PDF页171–172/F-5–6；https://ir.weride.ai/static-files/72a895d1-7999-4f63-9d97-476c54e7ecab</ns0:t>
        </ns0:is>
      </ns0:c>
      <ns0:c r="E211" s="16" t="inlineStr">
        <ns0:is>
          <ns0:t>披露；单位：人民币千元</ns0:t>
        </ns0:is>
      </ns0:c>
    </ns0:row>
    <ns0:row r="212">
      <ns0:c r="A212" s="16" t="inlineStr">
        <ns0:is>
          <ns0:t>2026-09-17</ns0:t>
        </ns0:is>
      </ns0:c>
      <ns0:c r="B212" s="16" t="inlineStr">
        <ns0:is>
          <ns0:t>FY2024_非流动FVTPL / 7_原始输入!B212</ns0:t>
        </ns0:is>
      </ns0:c>
      <ns0:c r="C212" s="41" t="n">
        <ns0:v>56919</ns0:v>
      </ns0:c>
      <ns0:c r="D212" s="16" t="inlineStr">
        <ns0:is>
          <ns0:t>FY2025_20F PDF页173–174/F-6–7；https://ir.weride.ai/system/files-encrypted/nasdaq_kms/assets/2026/04/23/10-08-17/20-F.pdf</ns0:t>
        </ns0:is>
      </ns0:c>
      <ns0:c r="E212" s="16" t="inlineStr">
        <ns0:is>
          <ns0:t>披露；单位：人民币千元</ns0:t>
        </ns0:is>
      </ns0:c>
    </ns0:row>
    <ns0:row r="213">
      <ns0:c r="A213" s="16" t="inlineStr">
        <ns0:is>
          <ns0:t>2026-09-17</ns0:t>
        </ns0:is>
      </ns0:c>
      <ns0:c r="B213" s="16" t="inlineStr">
        <ns0:is>
          <ns0:t>FY2025_非流动FVTPL / 7_原始输入!B213</ns0:t>
        </ns0:is>
      </ns0:c>
      <ns0:c r="C213" s="41" t="n">
        <ns0:v>188083</ns0:v>
      </ns0:c>
      <ns0:c r="D213" s="16" t="inlineStr">
        <ns0:is>
          <ns0:t>FY2025_20F PDF页173–174/F-6–7；https://ir.weride.ai/system/files-encrypted/nasdaq_kms/assets/2026/04/23/10-08-17/20-F.pdf</ns0:t>
        </ns0:is>
      </ns0:c>
      <ns0:c r="E213" s="16" t="inlineStr">
        <ns0:is>
          <ns0:t>披露；单位：人民币千元</ns0:t>
        </ns0:is>
      </ns0:c>
    </ns0:row>
    <ns0:row r="214">
      <ns0:c r="A214" s="16" t="inlineStr">
        <ns0:is>
          <ns0:t>2026-09-17</ns0:t>
        </ns0:is>
      </ns0:c>
      <ns0:c r="B214" s="16" t="inlineStr">
        <ns0:is>
          <ns0:t>H12026_非流动FVTPL / 7_原始输入!B214</ns0:t>
        </ns0:is>
      </ns0:c>
      <ns0:c r="C214" s="41" t="n">
        <ns0:v>252411</ns0:v>
      </ns0:c>
      <ns0:c r="D214" s="16" t="inlineStr">
        <ns0:is>
          <ns0:t>2026H1_interim PDF页49–50/48–49；66–67/65–66；https://www.hkexnews.hk/listedco/listconews/sehk/2026/0914/2026091401019.pdf</ns0:t>
        </ns0:is>
      </ns0:c>
      <ns0:c r="E214" s="16" t="inlineStr">
        <ns0:is>
          <ns0:t>披露；单位：人民币千元</ns0:t>
        </ns0:is>
      </ns0:c>
    </ns0:row>
    <ns0:row r="215">
      <ns0:c r="A215" s="16" t="inlineStr">
        <ns0:is>
          <ns0:t>2026-09-17</ns0:t>
        </ns0:is>
      </ns0:c>
      <ns0:c r="B215" s="16" t="inlineStr">
        <ns0:is>
          <ns0:t>FY2022_受限现金流动 / 7_原始输入!B215</ns0:t>
        </ns0:is>
      </ns0:c>
      <ns0:c r="C215" s="41" t="n">
        <ns0:v>1393</ns0:v>
      </ns0:c>
      <ns0:c r="D215" s="16" t="inlineStr">
        <ns0:is>
          <ns0:t>2024_US_424B4 PDF页281–282/F-5–6；https://ir.weride.ai/static-files/406cbf25-bb49-4020-b913-f9cca1283c6e</ns0:t>
        </ns0:is>
      </ns0:c>
      <ns0:c r="E215" s="16" t="inlineStr">
        <ns0:is>
          <ns0:t>披露；单位：人民币千元</ns0:t>
        </ns0:is>
      </ns0:c>
    </ns0:row>
    <ns0:row r="216">
      <ns0:c r="A216" s="16" t="inlineStr">
        <ns0:is>
          <ns0:t>2026-09-17</ns0:t>
        </ns0:is>
      </ns0:c>
      <ns0:c r="B216" s="16" t="inlineStr">
        <ns0:is>
          <ns0:t>FY2023_受限现金流动 / 7_原始输入!B216</ns0:t>
        </ns0:is>
      </ns0:c>
      <ns0:c r="C216" s="41" t="n">
        <ns0:v>10194</ns0:v>
      </ns0:c>
      <ns0:c r="D216" s="16" t="inlineStr">
        <ns0:is>
          <ns0:t>FY2024_20F PDF页171–172/F-5–6；https://ir.weride.ai/static-files/72a895d1-7999-4f63-9d97-476c54e7ecab</ns0:t>
        </ns0:is>
      </ns0:c>
      <ns0:c r="E216" s="16" t="inlineStr">
        <ns0:is>
          <ns0:t>披露；单位：人民币千元</ns0:t>
        </ns0:is>
      </ns0:c>
    </ns0:row>
    <ns0:row r="217">
      <ns0:c r="A217" s="16" t="inlineStr">
        <ns0:is>
          <ns0:t>2026-09-17</ns0:t>
        </ns0:is>
      </ns0:c>
      <ns0:c r="B217" s="16" t="inlineStr">
        <ns0:is>
          <ns0:t>FY2024_受限现金流动 / 7_原始输入!B217</ns0:t>
        </ns0:is>
      </ns0:c>
      <ns0:c r="C217" s="41" t="n">
        <ns0:v>4814</ns0:v>
      </ns0:c>
      <ns0:c r="D217" s="16" t="inlineStr">
        <ns0:is>
          <ns0:t>FY2025_20F PDF页173–174/F-6–7；https://ir.weride.ai/system/files-encrypted/nasdaq_kms/assets/2026/04/23/10-08-17/20-F.pdf</ns0:t>
        </ns0:is>
      </ns0:c>
      <ns0:c r="E217" s="16" t="inlineStr">
        <ns0:is>
          <ns0:t>披露；单位：人民币千元</ns0:t>
        </ns0:is>
      </ns0:c>
    </ns0:row>
    <ns0:row r="218">
      <ns0:c r="A218" s="16" t="inlineStr">
        <ns0:is>
          <ns0:t>2026-09-17</ns0:t>
        </ns0:is>
      </ns0:c>
      <ns0:c r="B218" s="16" t="inlineStr">
        <ns0:is>
          <ns0:t>FY2025_受限现金流动 / 7_原始输入!B218</ns0:t>
        </ns0:is>
      </ns0:c>
      <ns0:c r="C218" s="41" t="n">
        <ns0:v>12910</ns0:v>
      </ns0:c>
      <ns0:c r="D218" s="16" t="inlineStr">
        <ns0:is>
          <ns0:t>FY2025_20F PDF页173–174/F-6–7；https://ir.weride.ai/system/files-encrypted/nasdaq_kms/assets/2026/04/23/10-08-17/20-F.pdf</ns0:t>
        </ns0:is>
      </ns0:c>
      <ns0:c r="E218" s="16" t="inlineStr">
        <ns0:is>
          <ns0:t>披露；单位：人民币千元</ns0:t>
        </ns0:is>
      </ns0:c>
    </ns0:row>
    <ns0:row r="219">
      <ns0:c r="A219" s="16" t="inlineStr">
        <ns0:is>
          <ns0:t>2026-09-17</ns0:t>
        </ns0:is>
      </ns0:c>
      <ns0:c r="B219" s="16" t="inlineStr">
        <ns0:is>
          <ns0:t>H12026_受限现金流动 / 7_原始输入!B219</ns0:t>
        </ns0:is>
      </ns0:c>
      <ns0:c r="C219" s="41" t="n">
        <ns0:v>10420</ns0:v>
      </ns0:c>
      <ns0:c r="D219" s="16" t="inlineStr">
        <ns0:is>
          <ns0:t>2026H1_interim PDF页49–50/48–49；66–67/65–66；https://www.hkexnews.hk/listedco/listconews/sehk/2026/0914/2026091401019.pdf</ns0:t>
        </ns0:is>
      </ns0:c>
      <ns0:c r="E219" s="16" t="inlineStr">
        <ns0:is>
          <ns0:t>披露；单位：人民币千元</ns0:t>
        </ns0:is>
      </ns0:c>
    </ns0:row>
    <ns0:row r="220">
      <ns0:c r="A220" s="16" t="inlineStr">
        <ns0:is>
          <ns0:t>2026-09-17</ns0:t>
        </ns0:is>
      </ns0:c>
      <ns0:c r="B220" s="16" t="inlineStr">
        <ns0:is>
          <ns0:t>FY2022_受限现金非流动 / 7_原始输入!B220</ns0:t>
        </ns0:is>
      </ns0:c>
      <ns0:c r="C220" s="41" t="n">
        <ns0:v>11004</ns0:v>
      </ns0:c>
      <ns0:c r="D220" s="16" t="inlineStr">
        <ns0:is>
          <ns0:t>2024_US_424B4 PDF页281–282/F-5–6；https://ir.weride.ai/static-files/406cbf25-bb49-4020-b913-f9cca1283c6e</ns0:t>
        </ns0:is>
      </ns0:c>
      <ns0:c r="E220" s="16" t="inlineStr">
        <ns0:is>
          <ns0:t>披露；单位：人民币千元</ns0:t>
        </ns0:is>
      </ns0:c>
    </ns0:row>
    <ns0:row r="221">
      <ns0:c r="A221" s="16" t="inlineStr">
        <ns0:is>
          <ns0:t>2026-09-17</ns0:t>
        </ns0:is>
      </ns0:c>
      <ns0:c r="B221" s="16" t="inlineStr">
        <ns0:is>
          <ns0:t>FY2023_受限现金非流动 / 7_原始输入!B221</ns0:t>
        </ns0:is>
      </ns0:c>
      <ns0:c r="C221" s="41" t="n">
        <ns0:v>1575</ns0:v>
      </ns0:c>
      <ns0:c r="D221" s="16" t="inlineStr">
        <ns0:is>
          <ns0:t>FY2024_20F PDF页171–172/F-5–6；https://ir.weride.ai/static-files/72a895d1-7999-4f63-9d97-476c54e7ecab</ns0:t>
        </ns0:is>
      </ns0:c>
      <ns0:c r="E221" s="16" t="inlineStr">
        <ns0:is>
          <ns0:t>披露；单位：人民币千元</ns0:t>
        </ns0:is>
      </ns0:c>
    </ns0:row>
    <ns0:row r="222">
      <ns0:c r="A222" s="16" t="inlineStr">
        <ns0:is>
          <ns0:t>2026-09-17</ns0:t>
        </ns0:is>
      </ns0:c>
      <ns0:c r="B222" s="16" t="inlineStr">
        <ns0:is>
          <ns0:t>FY2024_受限现金非流动 / 7_原始输入!B222</ns0:t>
        </ns0:is>
      </ns0:c>
      <ns0:c r="C222" s="41" t="n">
        <ns0:v>9669</ns0:v>
      </ns0:c>
      <ns0:c r="D222" s="16" t="inlineStr">
        <ns0:is>
          <ns0:t>FY2025_20F PDF页173–174/F-6–7；https://ir.weride.ai/system/files-encrypted/nasdaq_kms/assets/2026/04/23/10-08-17/20-F.pdf</ns0:t>
        </ns0:is>
      </ns0:c>
      <ns0:c r="E222" s="16" t="inlineStr">
        <ns0:is>
          <ns0:t>披露；单位：人民币千元</ns0:t>
        </ns0:is>
      </ns0:c>
    </ns0:row>
    <ns0:row r="223">
      <ns0:c r="A223" s="16" t="inlineStr">
        <ns0:is>
          <ns0:t>2026-09-17</ns0:t>
        </ns0:is>
      </ns0:c>
      <ns0:c r="B223" s="16" t="inlineStr">
        <ns0:is>
          <ns0:t>FY2025_受限现金非流动 / 7_原始输入!B223</ns0:t>
        </ns0:is>
      </ns0:c>
      <ns0:c r="C223" s="41" t="n">
        <ns0:v>6487</ns0:v>
      </ns0:c>
      <ns0:c r="D223" s="16" t="inlineStr">
        <ns0:is>
          <ns0:t>FY2025_20F PDF页173–174/F-6–7；https://ir.weride.ai/system/files-encrypted/nasdaq_kms/assets/2026/04/23/10-08-17/20-F.pdf</ns0:t>
        </ns0:is>
      </ns0:c>
      <ns0:c r="E223" s="16" t="inlineStr">
        <ns0:is>
          <ns0:t>披露；单位：人民币千元</ns0:t>
        </ns0:is>
      </ns0:c>
    </ns0:row>
    <ns0:row r="224">
      <ns0:c r="A224" s="16" t="inlineStr">
        <ns0:is>
          <ns0:t>2026-09-17</ns0:t>
        </ns0:is>
      </ns0:c>
      <ns0:c r="B224" s="16" t="inlineStr">
        <ns0:is>
          <ns0:t>H12026_受限现金非流动 / 7_原始输入!B224</ns0:t>
        </ns0:is>
      </ns0:c>
      <ns0:c r="C224" s="41" t="n">
        <ns0:v>10988</ns0:v>
      </ns0:c>
      <ns0:c r="D224" s="16" t="inlineStr">
        <ns0:is>
          <ns0:t>2026H1_interim PDF页49–50/48–49；66–67/65–66；https://www.hkexnews.hk/listedco/listconews/sehk/2026/0914/2026091401019.pdf</ns0:t>
        </ns0:is>
      </ns0:c>
      <ns0:c r="E224" s="16" t="inlineStr">
        <ns0:is>
          <ns0:t>披露；单位：人民币千元</ns0:t>
        </ns0:is>
      </ns0:c>
    </ns0:row>
    <ns0:row r="225">
      <ns0:c r="A225" s="16" t="inlineStr">
        <ns0:is>
          <ns0:t>2026-09-17</ns0:t>
        </ns0:is>
      </ns0:c>
      <ns0:c r="B225" s="16" t="inlineStr">
        <ns0:is>
          <ns0:t>FY2022_存货 / 7_原始输入!B225</ns0:t>
        </ns0:is>
      </ns0:c>
      <ns0:c r="C225" s="41" t="n">
        <ns0:v>156005</ns0:v>
      </ns0:c>
      <ns0:c r="D225" s="16" t="inlineStr">
        <ns0:is>
          <ns0:t>2024_US_424B4 PDF页281–282/F-5–6；https://ir.weride.ai/static-files/406cbf25-bb49-4020-b913-f9cca1283c6e</ns0:t>
        </ns0:is>
      </ns0:c>
      <ns0:c r="E225" s="16" t="inlineStr">
        <ns0:is>
          <ns0:t>披露；单位：人民币千元</ns0:t>
        </ns0:is>
      </ns0:c>
    </ns0:row>
    <ns0:row r="226">
      <ns0:c r="A226" s="16" t="inlineStr">
        <ns0:is>
          <ns0:t>2026-09-17</ns0:t>
        </ns0:is>
      </ns0:c>
      <ns0:c r="B226" s="16" t="inlineStr">
        <ns0:is>
          <ns0:t>FY2023_存货 / 7_原始输入!B226</ns0:t>
        </ns0:is>
      </ns0:c>
      <ns0:c r="C226" s="41" t="n">
        <ns0:v>218220</ns0:v>
      </ns0:c>
      <ns0:c r="D226" s="16" t="inlineStr">
        <ns0:is>
          <ns0:t>FY2024_20F PDF页171–172/F-5–6；https://ir.weride.ai/static-files/72a895d1-7999-4f63-9d97-476c54e7ecab</ns0:t>
        </ns0:is>
      </ns0:c>
      <ns0:c r="E226" s="16" t="inlineStr">
        <ns0:is>
          <ns0:t>披露；单位：人民币千元</ns0:t>
        </ns0:is>
      </ns0:c>
    </ns0:row>
    <ns0:row r="227">
      <ns0:c r="A227" s="16" t="inlineStr">
        <ns0:is>
          <ns0:t>2026-09-17</ns0:t>
        </ns0:is>
      </ns0:c>
      <ns0:c r="B227" s="16" t="inlineStr">
        <ns0:is>
          <ns0:t>FY2024_存货 / 7_原始输入!B227</ns0:t>
        </ns0:is>
      </ns0:c>
      <ns0:c r="C227" s="41" t="n">
        <ns0:v>204705</ns0:v>
      </ns0:c>
      <ns0:c r="D227" s="16" t="inlineStr">
        <ns0:is>
          <ns0:t>FY2025_20F PDF页173–174/F-6–7；https://ir.weride.ai/system/files-encrypted/nasdaq_kms/assets/2026/04/23/10-08-17/20-F.pdf</ns0:t>
        </ns0:is>
      </ns0:c>
      <ns0:c r="E227" s="16" t="inlineStr">
        <ns0:is>
          <ns0:t>披露；单位：人民币千元</ns0:t>
        </ns0:is>
      </ns0:c>
    </ns0:row>
    <ns0:row r="228">
      <ns0:c r="A228" s="16" t="inlineStr">
        <ns0:is>
          <ns0:t>2026-09-17</ns0:t>
        </ns0:is>
      </ns0:c>
      <ns0:c r="B228" s="16" t="inlineStr">
        <ns0:is>
          <ns0:t>FY2025_存货 / 7_原始输入!B228</ns0:t>
        </ns0:is>
      </ns0:c>
      <ns0:c r="C228" s="41" t="n">
        <ns0:v>321021</ns0:v>
      </ns0:c>
      <ns0:c r="D228" s="16" t="inlineStr">
        <ns0:is>
          <ns0:t>FY2025_20F PDF页173–174/F-6–7；https://ir.weride.ai/system/files-encrypted/nasdaq_kms/assets/2026/04/23/10-08-17/20-F.pdf</ns0:t>
        </ns0:is>
      </ns0:c>
      <ns0:c r="E228" s="16" t="inlineStr">
        <ns0:is>
          <ns0:t>披露；单位：人民币千元</ns0:t>
        </ns0:is>
      </ns0:c>
    </ns0:row>
    <ns0:row r="229">
      <ns0:c r="A229" s="16" t="inlineStr">
        <ns0:is>
          <ns0:t>2026-09-17</ns0:t>
        </ns0:is>
      </ns0:c>
      <ns0:c r="B229" s="16" t="inlineStr">
        <ns0:is>
          <ns0:t>H12026_存货 / 7_原始输入!B229</ns0:t>
        </ns0:is>
      </ns0:c>
      <ns0:c r="C229" s="41" t="n">
        <ns0:v>439112</ns0:v>
      </ns0:c>
      <ns0:c r="D229" s="16" t="inlineStr">
        <ns0:is>
          <ns0:t>2026H1_interim PDF页49–50/48–49；66–67/65–66；https://www.hkexnews.hk/listedco/listconews/sehk/2026/0914/2026091401019.pdf</ns0:t>
        </ns0:is>
      </ns0:c>
      <ns0:c r="E229" s="16" t="inlineStr">
        <ns0:is>
          <ns0:t>披露；单位：人民币千元</ns0:t>
        </ns0:is>
      </ns0:c>
    </ns0:row>
    <ns0:row r="230">
      <ns0:c r="A230" s="16" t="inlineStr">
        <ns0:is>
          <ns0:t>2026-09-17</ns0:t>
        </ns0:is>
      </ns0:c>
      <ns0:c r="B230" s="16" t="inlineStr">
        <ns0:is>
          <ns0:t>FY2022_总负债 / 7_原始输入!B230</ns0:t>
        </ns0:is>
      </ns0:c>
      <ns0:c r="C230" s="41" t="n">
        <ns0:v>7467507</ns0:v>
      </ns0:c>
      <ns0:c r="D230" s="16" t="inlineStr">
        <ns0:is>
          <ns0:t>2024_US_424B4 PDF页281–282/F-5–6；https://ir.weride.ai/static-files/406cbf25-bb49-4020-b913-f9cca1283c6e</ns0:t>
        </ns0:is>
      </ns0:c>
      <ns0:c r="E230" s="16" t="inlineStr">
        <ns0:is>
          <ns0:t>披露；单位：人民币千元</ns0:t>
        </ns0:is>
      </ns0:c>
    </ns0:row>
    <ns0:row r="231">
      <ns0:c r="A231" s="16" t="inlineStr">
        <ns0:is>
          <ns0:t>2026-09-17</ns0:t>
        </ns0:is>
      </ns0:c>
      <ns0:c r="B231" s="16" t="inlineStr">
        <ns0:is>
          <ns0:t>FY2023_总负债 / 7_原始输入!B231</ns0:t>
        </ns0:is>
      </ns0:c>
      <ns0:c r="C231" s="41" t="n">
        <ns0:v>8666176</ns0:v>
      </ns0:c>
      <ns0:c r="D231" s="16" t="inlineStr">
        <ns0:is>
          <ns0:t>FY2024_20F PDF页171–172/F-5–6；https://ir.weride.ai/static-files/72a895d1-7999-4f63-9d97-476c54e7ecab</ns0:t>
        </ns0:is>
      </ns0:c>
      <ns0:c r="E231" s="16" t="inlineStr">
        <ns0:is>
          <ns0:t>披露；单位：人民币千元</ns0:t>
        </ns0:is>
      </ns0:c>
    </ns0:row>
    <ns0:row r="232">
      <ns0:c r="A232" s="16" t="inlineStr">
        <ns0:is>
          <ns0:t>2026-09-17</ns0:t>
        </ns0:is>
      </ns0:c>
      <ns0:c r="B232" s="16" t="inlineStr">
        <ns0:is>
          <ns0:t>FY2024_总负债 / 7_原始输入!B232</ns0:t>
        </ns0:is>
      </ns0:c>
      <ns0:c r="C232" s="41" t="n">
        <ns0:v>627751</ns0:v>
      </ns0:c>
      <ns0:c r="D232" s="16" t="inlineStr">
        <ns0:is>
          <ns0:t>FY2025_20F PDF页173–174/F-6–7；https://ir.weride.ai/system/files-encrypted/nasdaq_kms/assets/2026/04/23/10-08-17/20-F.pdf</ns0:t>
        </ns0:is>
      </ns0:c>
      <ns0:c r="E232" s="16" t="inlineStr">
        <ns0:is>
          <ns0:t>披露；单位：人民币千元</ns0:t>
        </ns0:is>
      </ns0:c>
    </ns0:row>
    <ns0:row r="233">
      <ns0:c r="A233" s="16" t="inlineStr">
        <ns0:is>
          <ns0:t>2026-09-17</ns0:t>
        </ns0:is>
      </ns0:c>
      <ns0:c r="B233" s="16" t="inlineStr">
        <ns0:is>
          <ns0:t>FY2025_总负债 / 7_原始输入!B233</ns0:t>
        </ns0:is>
      </ns0:c>
      <ns0:c r="C233" s="41" t="n">
        <ns0:v>1035751</ns0:v>
      </ns0:c>
      <ns0:c r="D233" s="16" t="inlineStr">
        <ns0:is>
          <ns0:t>FY2025_20F PDF页173–174/F-6–7；https://ir.weride.ai/system/files-encrypted/nasdaq_kms/assets/2026/04/23/10-08-17/20-F.pdf</ns0:t>
        </ns0:is>
      </ns0:c>
      <ns0:c r="E233" s="16" t="inlineStr">
        <ns0:is>
          <ns0:t>披露；单位：人民币千元</ns0:t>
        </ns0:is>
      </ns0:c>
    </ns0:row>
    <ns0:row r="234">
      <ns0:c r="A234" s="16" t="inlineStr">
        <ns0:is>
          <ns0:t>2026-09-17</ns0:t>
        </ns0:is>
      </ns0:c>
      <ns0:c r="B234" s="16" t="inlineStr">
        <ns0:is>
          <ns0:t>H12026_总负债 / 7_原始输入!B234</ns0:t>
        </ns0:is>
      </ns0:c>
      <ns0:c r="C234" s="41" t="n">
        <ns0:v>1360114</ns0:v>
      </ns0:c>
      <ns0:c r="D234" s="16" t="inlineStr">
        <ns0:is>
          <ns0:t>2026H1_interim PDF页49–50/48–49；66–67/65–66；https://www.hkexnews.hk/listedco/listconews/sehk/2026/0914/2026091401019.pdf</ns0:t>
        </ns0:is>
      </ns0:c>
      <ns0:c r="E234" s="16" t="inlineStr">
        <ns0:is>
          <ns0:t>披露；单位：人民币千元</ns0:t>
        </ns0:is>
      </ns0:c>
    </ns0:row>
    <ns0:row r="235">
      <ns0:c r="A235" s="16" t="inlineStr">
        <ns0:is>
          <ns0:t>2026-09-17</ns0:t>
        </ns0:is>
      </ns0:c>
      <ns0:c r="B235" s="16" t="inlineStr">
        <ns0:is>
          <ns0:t>FY2022_流动资产 / 7_原始输入!B235</ns0:t>
        </ns0:is>
      </ns0:c>
      <ns0:c r="C235" s="41" t="n">
        <ns0:v>5073473</ns0:v>
      </ns0:c>
      <ns0:c r="D235" s="16" t="inlineStr">
        <ns0:is>
          <ns0:t>2024_US_424B4 PDF页281–282/F-5–6；https://ir.weride.ai/static-files/406cbf25-bb49-4020-b913-f9cca1283c6e</ns0:t>
        </ns0:is>
      </ns0:c>
      <ns0:c r="E235" s="16" t="inlineStr">
        <ns0:is>
          <ns0:t>披露；单位：人民币千元</ns0:t>
        </ns0:is>
      </ns0:c>
    </ns0:row>
    <ns0:row r="236">
      <ns0:c r="A236" s="16" t="inlineStr">
        <ns0:is>
          <ns0:t>2026-09-17</ns0:t>
        </ns0:is>
      </ns0:c>
      <ns0:c r="B236" s="16" t="inlineStr">
        <ns0:is>
          <ns0:t>FY2023_流动资产 / 7_原始输入!B236</ns0:t>
        </ns0:is>
      </ns0:c>
      <ns0:c r="C236" s="41" t="n">
        <ns0:v>5370023</ns0:v>
      </ns0:c>
      <ns0:c r="D236" s="16" t="inlineStr">
        <ns0:is>
          <ns0:t>FY2024_20F PDF页171–172/F-5–6；https://ir.weride.ai/static-files/72a895d1-7999-4f63-9d97-476c54e7ecab</ns0:t>
        </ns0:is>
      </ns0:c>
      <ns0:c r="E236" s="16" t="inlineStr">
        <ns0:is>
          <ns0:t>披露；单位：人民币千元</ns0:t>
        </ns0:is>
      </ns0:c>
    </ns0:row>
    <ns0:row r="237">
      <ns0:c r="A237" s="16" t="inlineStr">
        <ns0:is>
          <ns0:t>2026-09-17</ns0:t>
        </ns0:is>
      </ns0:c>
      <ns0:c r="B237" s="16" t="inlineStr">
        <ns0:is>
          <ns0:t>FY2024_流动资产 / 7_原始输入!B237</ns0:t>
        </ns0:is>
      </ns0:c>
      <ns0:c r="C237" s="41" t="n">
        <ns0:v>7287995</ns0:v>
      </ns0:c>
      <ns0:c r="D237" s="16" t="inlineStr">
        <ns0:is>
          <ns0:t>FY2025_20F PDF页173–174/F-6–7；https://ir.weride.ai/system/files-encrypted/nasdaq_kms/assets/2026/04/23/10-08-17/20-F.pdf</ns0:t>
        </ns0:is>
      </ns0:c>
      <ns0:c r="E237" s="16" t="inlineStr">
        <ns0:is>
          <ns0:t>披露；单位：人民币千元</ns0:t>
        </ns0:is>
      </ns0:c>
    </ns0:row>
    <ns0:row r="238">
      <ns0:c r="A238" s="16" t="inlineStr">
        <ns0:is>
          <ns0:t>2026-09-17</ns0:t>
        </ns0:is>
      </ns0:c>
      <ns0:c r="B238" s="16" t="inlineStr">
        <ns0:is>
          <ns0:t>FY2025_流动资产 / 7_原始输入!B238</ns0:t>
        </ns0:is>
      </ns0:c>
      <ns0:c r="C238" s="41" t="n">
        <ns0:v>8210324</ns0:v>
      </ns0:c>
      <ns0:c r="D238" s="16" t="inlineStr">
        <ns0:is>
          <ns0:t>FY2025_20F PDF页173–174/F-6–7；https://ir.weride.ai/system/files-encrypted/nasdaq_kms/assets/2026/04/23/10-08-17/20-F.pdf</ns0:t>
        </ns0:is>
      </ns0:c>
      <ns0:c r="E238" s="16" t="inlineStr">
        <ns0:is>
          <ns0:t>披露；单位：人民币千元</ns0:t>
        </ns0:is>
      </ns0:c>
    </ns0:row>
    <ns0:row r="239">
      <ns0:c r="A239" s="16" t="inlineStr">
        <ns0:is>
          <ns0:t>2026-09-17</ns0:t>
        </ns0:is>
      </ns0:c>
      <ns0:c r="B239" s="16" t="inlineStr">
        <ns0:is>
          <ns0:t>H12026_流动资产 / 7_原始输入!B239</ns0:t>
        </ns0:is>
      </ns0:c>
      <ns0:c r="C239" s="41" t="n">
        <ns0:v>6628076</ns0:v>
      </ns0:c>
      <ns0:c r="D239" s="16" t="inlineStr">
        <ns0:is>
          <ns0:t>2026H1_interim PDF页49–50/48–49；66–67/65–66；https://www.hkexnews.hk/listedco/listconews/sehk/2026/0914/2026091401019.pdf</ns0:t>
        </ns0:is>
      </ns0:c>
      <ns0:c r="E239" s="16" t="inlineStr">
        <ns0:is>
          <ns0:t>披露；单位：人民币千元</ns0:t>
        </ns0:is>
      </ns0:c>
    </ns0:row>
    <ns0:row r="240">
      <ns0:c r="A240" s="16" t="inlineStr">
        <ns0:is>
          <ns0:t>2026-09-17</ns0:t>
        </ns0:is>
      </ns0:c>
      <ns0:c r="B240" s="16" t="inlineStr">
        <ns0:is>
          <ns0:t>FY2023_流动负债 / 7_原始输入!B240</ns0:t>
        </ns0:is>
      </ns0:c>
      <ns0:c r="C240" s="41" t="n">
        <ns0:v>8591413</ns0:v>
      </ns0:c>
      <ns0:c r="D240" s="16" t="inlineStr">
        <ns0:is>
          <ns0:t>FY2024_20F PDF页171–172/F-5–6；https://ir.weride.ai/static-files/72a895d1-7999-4f63-9d97-476c54e7ecab</ns0:t>
        </ns0:is>
      </ns0:c>
      <ns0:c r="E240" s="16" t="inlineStr">
        <ns0:is>
          <ns0:t>披露；单位：人民币千元</ns0:t>
        </ns0:is>
      </ns0:c>
    </ns0:row>
    <ns0:row r="241">
      <ns0:c r="A241" s="16" t="inlineStr">
        <ns0:is>
          <ns0:t>2026-09-17</ns0:t>
        </ns0:is>
      </ns0:c>
      <ns0:c r="B241" s="16" t="inlineStr">
        <ns0:is>
          <ns0:t>FY2024_流动负债 / 7_原始输入!B241</ns0:t>
        </ns0:is>
      </ns0:c>
      <ns0:c r="C241" s="41" t="n">
        <ns0:v>542489</ns0:v>
      </ns0:c>
      <ns0:c r="D241" s="16" t="inlineStr">
        <ns0:is>
          <ns0:t>FY2025_20F PDF页173–174/F-6–7；https://ir.weride.ai/system/files-encrypted/nasdaq_kms/assets/2026/04/23/10-08-17/20-F.pdf</ns0:t>
        </ns0:is>
      </ns0:c>
      <ns0:c r="E241" s="16" t="inlineStr">
        <ns0:is>
          <ns0:t>披露；单位：人民币千元</ns0:t>
        </ns0:is>
      </ns0:c>
    </ns0:row>
    <ns0:row r="242">
      <ns0:c r="A242" s="16" t="inlineStr">
        <ns0:is>
          <ns0:t>2026-09-17</ns0:t>
        </ns0:is>
      </ns0:c>
      <ns0:c r="B242" s="16" t="inlineStr">
        <ns0:is>
          <ns0:t>FY2025_流动负债 / 7_原始输入!B242</ns0:t>
        </ns0:is>
      </ns0:c>
      <ns0:c r="C242" s="41" t="n">
        <ns0:v>1001301</ns0:v>
      </ns0:c>
      <ns0:c r="D242" s="16" t="inlineStr">
        <ns0:is>
          <ns0:t>FY2025_20F PDF页173–174/F-6–7；https://ir.weride.ai/system/files-encrypted/nasdaq_kms/assets/2026/04/23/10-08-17/20-F.pdf</ns0:t>
        </ns0:is>
      </ns0:c>
      <ns0:c r="E242" s="16" t="inlineStr">
        <ns0:is>
          <ns0:t>披露；单位：人民币千元</ns0:t>
        </ns0:is>
      </ns0:c>
    </ns0:row>
    <ns0:row r="243">
      <ns0:c r="A243" s="16" t="inlineStr">
        <ns0:is>
          <ns0:t>2026-09-17</ns0:t>
        </ns0:is>
      </ns0:c>
      <ns0:c r="B243" s="16" t="inlineStr">
        <ns0:is>
          <ns0:t>H12026_流动负债 / 7_原始输入!B243</ns0:t>
        </ns0:is>
      </ns0:c>
      <ns0:c r="C243" s="41" t="n">
        <ns0:v>1236732</ns0:v>
      </ns0:c>
      <ns0:c r="D243" s="16" t="inlineStr">
        <ns0:is>
          <ns0:t>2026H1_interim PDF页49–50/48–49；66–67/65–66；https://www.hkexnews.hk/listedco/listconews/sehk/2026/0914/2026091401019.pdf</ns0:t>
        </ns0:is>
      </ns0:c>
      <ns0:c r="E243" s="16" t="inlineStr">
        <ns0:is>
          <ns0:t>披露；单位：人民币千元</ns0:t>
        </ns0:is>
      </ns0:c>
    </ns0:row>
    <ns0:row r="244">
      <ns0:c r="A244" s="16" t="inlineStr">
        <ns0:is>
          <ns0:t>2026-09-17</ns0:t>
        </ns0:is>
      </ns0:c>
      <ns0:c r="B244" s="16" t="inlineStr">
        <ns0:is>
          <ns0:t>FY2025_应收拨备 / 7_原始输入!B244</ns0:t>
        </ns0:is>
      </ns0:c>
      <ns0:c r="C244" s="41" t="n">
        <ns0:v>69795</ns0:v>
      </ns0:c>
      <ns0:c r="D244" s="16" t="inlineStr">
        <ns0:is>
          <ns0:t>2026H1_interim PDF页49–50/48–49；66–67/65–66；https://www.hkexnews.hk/listedco/listconews/sehk/2026/0914/2026091401019.pdf</ns0:t>
        </ns0:is>
      </ns0:c>
      <ns0:c r="E244" s="16" t="inlineStr">
        <ns0:is>
          <ns0:t>披露；单位：人民币千元</ns0:t>
        </ns0:is>
      </ns0:c>
    </ns0:row>
    <ns0:row r="245">
      <ns0:c r="A245" s="16" t="inlineStr">
        <ns0:is>
          <ns0:t>2026-09-17</ns0:t>
        </ns0:is>
      </ns0:c>
      <ns0:c r="B245" s="16" t="inlineStr">
        <ns0:is>
          <ns0:t>H12026_应收拨备 / 7_原始输入!B245</ns0:t>
        </ns0:is>
      </ns0:c>
      <ns0:c r="C245" s="41" t="n">
        <ns0:v>66058</ns0:v>
      </ns0:c>
      <ns0:c r="D245" s="16" t="inlineStr">
        <ns0:is>
          <ns0:t>2026H1_interim PDF页49–50/48–49；66–67/65–66；https://www.hkexnews.hk/listedco/listconews/sehk/2026/0914/2026091401019.pdf</ns0:t>
        </ns0:is>
      </ns0:c>
      <ns0:c r="E245" s="16" t="inlineStr">
        <ns0:is>
          <ns0:t>披露；单位：人民币千元</ns0:t>
        </ns0:is>
      </ns0:c>
    </ns0:row>
    <ns0:row r="246">
      <ns0:c r="A246" s="16" t="inlineStr">
        <ns0:is>
          <ns0:t>2026-09-17</ns0:t>
        </ns0:is>
      </ns0:c>
      <ns0:c r="B246" s="16" t="inlineStr">
        <ns0:is>
          <ns0:t>FY2025_合同资产拨备 / 7_原始输入!B246</ns0:t>
        </ns0:is>
      </ns0:c>
      <ns0:c r="C246" s="41" t="n">
        <ns0:v>23910</ns0:v>
      </ns0:c>
      <ns0:c r="D246" s="16" t="inlineStr">
        <ns0:is>
          <ns0:t>2026H1_interim PDF页49–50/48–49；66–67/65–66；https://www.hkexnews.hk/listedco/listconews/sehk/2026/0914/2026091401019.pdf</ns0:t>
        </ns0:is>
      </ns0:c>
      <ns0:c r="E246" s="16" t="inlineStr">
        <ns0:is>
          <ns0:t>披露；单位：人民币千元</ns0:t>
        </ns0:is>
      </ns0:c>
    </ns0:row>
    <ns0:row r="247">
      <ns0:c r="A247" s="16" t="inlineStr">
        <ns0:is>
          <ns0:t>2026-09-17</ns0:t>
        </ns0:is>
      </ns0:c>
      <ns0:c r="B247" s="16" t="inlineStr">
        <ns0:is>
          <ns0:t>H12026_合同资产拨备 / 7_原始输入!B247</ns0:t>
        </ns0:is>
      </ns0:c>
      <ns0:c r="C247" s="41" t="n">
        <ns0:v>23495</ns0:v>
      </ns0:c>
      <ns0:c r="D247" s="16" t="inlineStr">
        <ns0:is>
          <ns0:t>2026H1_interim PDF页49–50/48–49；66–67/65–66；https://www.hkexnews.hk/listedco/listconews/sehk/2026/0914/2026091401019.pdf</ns0:t>
        </ns0:is>
      </ns0:c>
      <ns0:c r="E247" s="16" t="inlineStr">
        <ns0:is>
          <ns0:t>披露；单位：人民币千元</ns0:t>
        </ns0:is>
      </ns0:c>
    </ns0:row>
    <ns0:row r="248">
      <ns0:c r="A248" s="16" t="inlineStr">
        <ns0:is>
          <ns0:t>2026-09-17</ns0:t>
        </ns0:is>
      </ns0:c>
      <ns0:c r="B248" s="16" t="inlineStr">
        <ns0:is>
          <ns0:t>FY2022_固定资产 / 7_原始输入!B248</ns0:t>
        </ns0:is>
      </ns0:c>
      <ns0:c r="C248" s="41" t="n">
        <ns0:v>113878</ns0:v>
      </ns0:c>
      <ns0:c r="D248" s="16" t="inlineStr">
        <ns0:is>
          <ns0:t>2024_US_424B4 PDF页281–282/F-5–6；https://ir.weride.ai/static-files/406cbf25-bb49-4020-b913-f9cca1283c6e</ns0:t>
        </ns0:is>
      </ns0:c>
      <ns0:c r="E248" s="16" t="inlineStr">
        <ns0:is>
          <ns0:t>披露；单位：人民币千元</ns0:t>
        </ns0:is>
      </ns0:c>
    </ns0:row>
    <ns0:row r="249">
      <ns0:c r="A249" s="16" t="inlineStr">
        <ns0:is>
          <ns0:t>2026-09-17</ns0:t>
        </ns0:is>
      </ns0:c>
      <ns0:c r="B249" s="16" t="inlineStr">
        <ns0:is>
          <ns0:t>FY2023_固定资产 / 7_原始输入!B249</ns0:t>
        </ns0:is>
      </ns0:c>
      <ns0:c r="C249" s="41" t="n">
        <ns0:v>98574</ns0:v>
      </ns0:c>
      <ns0:c r="D249" s="16" t="inlineStr">
        <ns0:is>
          <ns0:t>FY2024_20F PDF页171–172/F-5–6；https://ir.weride.ai/static-files/72a895d1-7999-4f63-9d97-476c54e7ecab</ns0:t>
        </ns0:is>
      </ns0:c>
      <ns0:c r="E249" s="16" t="inlineStr">
        <ns0:is>
          <ns0:t>披露；单位：人民币千元</ns0:t>
        </ns0:is>
      </ns0:c>
    </ns0:row>
    <ns0:row r="250">
      <ns0:c r="A250" s="16" t="inlineStr">
        <ns0:is>
          <ns0:t>2026-09-17</ns0:t>
        </ns0:is>
      </ns0:c>
      <ns0:c r="B250" s="16" t="inlineStr">
        <ns0:is>
          <ns0:t>FY2024_固定资产 / 7_原始输入!B250</ns0:t>
        </ns0:is>
      </ns0:c>
      <ns0:c r="C250" s="41" t="n">
        <ns0:v>178179</ns0:v>
      </ns0:c>
      <ns0:c r="D250" s="16" t="inlineStr">
        <ns0:is>
          <ns0:t>FY2025_20F PDF页173–174/F-6–7；https://ir.weride.ai/system/files-encrypted/nasdaq_kms/assets/2026/04/23/10-08-17/20-F.pdf</ns0:t>
        </ns0:is>
      </ns0:c>
      <ns0:c r="E250" s="16" t="inlineStr">
        <ns0:is>
          <ns0:t>披露；单位：人民币千元</ns0:t>
        </ns0:is>
      </ns0:c>
    </ns0:row>
    <ns0:row r="251">
      <ns0:c r="A251" s="16" t="inlineStr">
        <ns0:is>
          <ns0:t>2026-09-17</ns0:t>
        </ns0:is>
      </ns0:c>
      <ns0:c r="B251" s="16" t="inlineStr">
        <ns0:is>
          <ns0:t>FY2025_固定资产 / 7_原始输入!B251</ns0:t>
        </ns0:is>
      </ns0:c>
      <ns0:c r="C251" s="41" t="n">
        <ns0:v>378769</ns0:v>
      </ns0:c>
      <ns0:c r="D251" s="16" t="inlineStr">
        <ns0:is>
          <ns0:t>FY2025_20F PDF页173–174/F-6–7；https://ir.weride.ai/system/files-encrypted/nasdaq_kms/assets/2026/04/23/10-08-17/20-F.pdf</ns0:t>
        </ns0:is>
      </ns0:c>
      <ns0:c r="E251" s="16" t="inlineStr">
        <ns0:is>
          <ns0:t>披露；单位：人民币千元</ns0:t>
        </ns0:is>
      </ns0:c>
    </ns0:row>
    <ns0:row r="252">
      <ns0:c r="A252" s="16" t="inlineStr">
        <ns0:is>
          <ns0:t>2026-09-17</ns0:t>
        </ns0:is>
      </ns0:c>
      <ns0:c r="B252" s="16" t="inlineStr">
        <ns0:is>
          <ns0:t>H12026_固定资产 / 7_原始输入!B252</ns0:t>
        </ns0:is>
      </ns0:c>
      <ns0:c r="C252" s="41" t="n">
        <ns0:v>573233</ns0:v>
      </ns0:c>
      <ns0:c r="D252" s="16" t="inlineStr">
        <ns0:is>
          <ns0:t>2026H1_interim PDF页49–50/48–49；66–67/65–66；https://www.hkexnews.hk/listedco/listconews/sehk/2026/0914/2026091401019.pdf</ns0:t>
        </ns0:is>
      </ns0:c>
      <ns0:c r="E252" s="16" t="inlineStr">
        <ns0:is>
          <ns0:t>披露；单位：人民币千元</ns0:t>
        </ns0:is>
      </ns0:c>
    </ns0:row>
    <ns0:row r="253">
      <ns0:c r="A253" s="16" t="inlineStr">
        <ns0:is>
          <ns0:t>2026-09-17</ns0:t>
        </ns0:is>
      </ns0:c>
      <ns0:c r="B253" s="16" t="inlineStr">
        <ns0:is>
          <ns0:t>FY2022_回售期权负债 / 7_原始输入!B253</ns0:t>
        </ns0:is>
      </ns0:c>
      <ns0:c r="C253" s="41" t="n">
        <ns0:v>39812</ns0:v>
      </ns0:c>
      <ns0:c r="D253" s="16" t="inlineStr">
        <ns0:is>
          <ns0:t>2024_US_424B4 PDF页281–282/F-5–6；https://ir.weride.ai/static-files/406cbf25-bb49-4020-b913-f9cca1283c6e</ns0:t>
        </ns0:is>
      </ns0:c>
      <ns0:c r="E253" s="16" t="inlineStr">
        <ns0:is>
          <ns0:t>披露；单位：人民币千元</ns0:t>
        </ns0:is>
      </ns0:c>
    </ns0:row>
    <ns0:row r="254">
      <ns0:c r="A254" s="16" t="inlineStr">
        <ns0:is>
          <ns0:t>2026-09-17</ns0:t>
        </ns0:is>
      </ns0:c>
      <ns0:c r="B254" s="16" t="inlineStr">
        <ns0:is>
          <ns0:t>FY2023_回售期权负债 / 7_原始输入!B254</ns0:t>
        </ns0:is>
      </ns0:c>
      <ns0:c r="C254" s="41" t="n">
        <ns0:v>40449</ns0:v>
      </ns0:c>
      <ns0:c r="D254" s="16" t="inlineStr">
        <ns0:is>
          <ns0:t>FY2024_20F PDF页171–172/F-5–6；https://ir.weride.ai/static-files/72a895d1-7999-4f63-9d97-476c54e7ecab</ns0:t>
        </ns0:is>
      </ns0:c>
      <ns0:c r="E254" s="16" t="inlineStr">
        <ns0:is>
          <ns0:t>披露；单位：人民币千元</ns0:t>
        </ns0:is>
      </ns0:c>
    </ns0:row>
    <ns0:row r="255">
      <ns0:c r="A255" s="16" t="inlineStr">
        <ns0:is>
          <ns0:t>2026-09-17</ns0:t>
        </ns0:is>
      </ns0:c>
      <ns0:c r="B255" s="16" t="inlineStr">
        <ns0:is>
          <ns0:t>FY2024_回售期权负债 / 7_原始输入!B255</ns0:t>
        </ns0:is>
      </ns0:c>
      <ns0:c r="C255" s="41" t="n">
        <ns0:v>41099</ns0:v>
      </ns0:c>
      <ns0:c r="D255" s="16" t="inlineStr">
        <ns0:is>
          <ns0:t>FY2025_20F PDF页173–174/F-6–7；https://ir.weride.ai/system/files-encrypted/nasdaq_kms/assets/2026/04/23/10-08-17/20-F.pdf</ns0:t>
        </ns0:is>
      </ns0:c>
      <ns0:c r="E255" s="16" t="inlineStr">
        <ns0:is>
          <ns0:t>披露；单位：人民币千元</ns0:t>
        </ns0:is>
      </ns0:c>
    </ns0:row>
    <ns0:row r="256">
      <ns0:c r="A256" s="16" t="inlineStr">
        <ns0:is>
          <ns0:t>2026-09-17</ns0:t>
        </ns0:is>
      </ns0:c>
      <ns0:c r="B256" s="16" t="inlineStr">
        <ns0:is>
          <ns0:t>FY2025_回售期权负债 / 7_原始输入!B256</ns0:t>
        </ns0:is>
      </ns0:c>
      <ns0:c r="C256" s="41" t="n">
        <ns0:v>43300</ns0:v>
      </ns0:c>
      <ns0:c r="D256" s="16" t="inlineStr">
        <ns0:is>
          <ns0:t>FY2025_20F PDF页173–174/F-6–7；https://ir.weride.ai/system/files-encrypted/nasdaq_kms/assets/2026/04/23/10-08-17/20-F.pdf</ns0:t>
        </ns0:is>
      </ns0:c>
      <ns0:c r="E256" s="16" t="inlineStr">
        <ns0:is>
          <ns0:t>披露；单位：人民币千元</ns0:t>
        </ns0:is>
      </ns0:c>
    </ns0:row>
    <ns0:row r="257">
      <ns0:c r="A257" s="16" t="inlineStr">
        <ns0:is>
          <ns0:t>2026-09-17</ns0:t>
        </ns0:is>
      </ns0:c>
      <ns0:c r="B257" s="16" t="inlineStr">
        <ns0:is>
          <ns0:t>H12026_回售期权负债 / 7_原始输入!B257</ns0:t>
        </ns0:is>
      </ns0:c>
      <ns0:c r="C257" s="41" t="n">
        <ns0:v>31681</ns0:v>
      </ns0:c>
      <ns0:c r="D257" s="16" t="inlineStr">
        <ns0:is>
          <ns0:t>2026H1_interim PDF页49–50/48–49；66–67/65–66；https://www.hkexnews.hk/listedco/listconews/sehk/2026/0914/2026091401019.pdf</ns0:t>
        </ns0:is>
      </ns0:c>
      <ns0:c r="E257" s="16" t="inlineStr">
        <ns0:is>
          <ns0:t>披露；单位：人民币千元</ns0:t>
        </ns0:is>
      </ns0:c>
    </ns0:row>
    <ns0:row r="258">
      <ns0:c r="A258" s="16" t="inlineStr">
        <ns0:is>
          <ns0:t>2026-09-17</ns0:t>
        </ns0:is>
      </ns0:c>
      <ns0:c r="B258" s="16" t="inlineStr">
        <ns0:is>
          <ns0:t>股份A / 7_原始输入!B258</ns0:t>
        </ns0:is>
      </ns0:c>
      <ns0:c r="C258" s="41" t="n">
        <ns0:v>972508041</ns0:v>
      </ns0:c>
      <ns0:c r="D258" s="16" t="inlineStr">
        <ns0:is>
          <ns0:t>2026H1_interim PDF页43/42；73/72；75–77/74–76；https://www.hkexnews.hk/listedco/listconews/sehk/2026/0914/2026091401019.pdf</ns0:t>
        </ns0:is>
      </ns0:c>
      <ns0:c r="E258" s="16" t="inlineStr">
        <ns0:is>
          <ns0:t>披露；单位：股；ADS比例为股/ADS</ns0:t>
        </ns0:is>
      </ns0:c>
    </ns0:row>
    <ns0:row r="259">
      <ns0:c r="A259" s="16" t="inlineStr">
        <ns0:is>
          <ns0:t>2026-09-17</ns0:t>
        </ns0:is>
      </ns0:c>
      <ns0:c r="B259" s="16" t="inlineStr">
        <ns0:is>
          <ns0:t>股份B / 7_原始输入!B259</ns0:t>
        </ns0:is>
      </ns0:c>
      <ns0:c r="C259" s="41" t="n">
        <ns0:v>54814423</ns0:v>
      </ns0:c>
      <ns0:c r="D259" s="16" t="inlineStr">
        <ns0:is>
          <ns0:t>2026H1_interim PDF页43/42；73/72；75–77/74–76；https://www.hkexnews.hk/listedco/listconews/sehk/2026/0914/2026091401019.pdf</ns0:t>
        </ns0:is>
      </ns0:c>
      <ns0:c r="E259" s="16" t="inlineStr">
        <ns0:is>
          <ns0:t>披露；单位：股；ADS比例为股/ADS</ns0:t>
        </ns0:is>
      </ns0:c>
    </ns0:row>
    <ns0:row r="260">
      <ns0:c r="A260" s="16" t="inlineStr">
        <ns0:is>
          <ns0:t>2026-09-17</ns0:t>
        </ns0:is>
      </ns0:c>
      <ns0:c r="B260" s="16" t="inlineStr">
        <ns0:is>
          <ns0:t>库存股 / 7_原始输入!B260</ns0:t>
        </ns0:is>
      </ns0:c>
      <ns0:c r="C260" s="41" t="n">
        <ns0:v>40454099</ns0:v>
      </ns0:c>
      <ns0:c r="D260" s="16" t="inlineStr">
        <ns0:is>
          <ns0:t>2026H1_interim PDF页43/42；73/72；75–77/74–76；https://www.hkexnews.hk/listedco/listconews/sehk/2026/0914/2026091401019.pdf</ns0:t>
        </ns0:is>
      </ns0:c>
      <ns0:c r="E260" s="16" t="inlineStr">
        <ns0:is>
          <ns0:t>披露；单位：股；ADS比例为股/ADS</ns0:t>
        </ns0:is>
      </ns0:c>
    </ns0:row>
    <ns0:row r="261">
      <ns0:c r="A261" s="16" t="inlineStr">
        <ns0:is>
          <ns0:t>2026-09-17</ns0:t>
        </ns0:is>
      </ns0:c>
      <ns0:c r="B261" s="16" t="inlineStr">
        <ns0:is>
          <ns0:t>ADS比例 / 7_原始输入!B261</ns0:t>
        </ns0:is>
      </ns0:c>
      <ns0:c r="C261" s="41" t="n">
        <ns0:v>3</ns0:v>
      </ns0:c>
      <ns0:c r="D261" s="16" t="inlineStr">
        <ns0:is>
          <ns0:t>2026H1_interim PDF页43/42；73/72；75–77/74–76；https://www.hkexnews.hk/listedco/listconews/sehk/2026/0914/2026091401019.pdf</ns0:t>
        </ns0:is>
      </ns0:c>
      <ns0:c r="E261" s="16" t="inlineStr">
        <ns0:is>
          <ns0:t>披露；单位：股；ADS比例为股/ADS</ns0:t>
        </ns0:is>
      </ns0:c>
    </ns0:row>
    <ns0:row r="262">
      <ns0:c r="A262" s="16" t="inlineStr">
        <ns0:is>
          <ns0:t>2026-09-17</ns0:t>
        </ns0:is>
      </ns0:c>
      <ns0:c r="B262" s="16" t="inlineStr">
        <ns0:is>
          <ns0:t>期权 / 7_原始输入!B262</ns0:t>
        </ns0:is>
      </ns0:c>
      <ns0:c r="C262" s="41" t="n">
        <ns0:v>90902378</ns0:v>
      </ns0:c>
      <ns0:c r="D262" s="16" t="inlineStr">
        <ns0:is>
          <ns0:t>2026H1_interim PDF页43/42；73/72；75–77/74–76；https://www.hkexnews.hk/listedco/listconews/sehk/2026/0914/2026091401019.pdf</ns0:t>
        </ns0:is>
      </ns0:c>
      <ns0:c r="E262" s="16" t="inlineStr">
        <ns0:is>
          <ns0:t>披露；单位：股；ADS比例为股/ADS</ns0:t>
        </ns0:is>
      </ns0:c>
    </ns0:row>
    <ns0:row r="263">
      <ns0:c r="A263" s="16" t="inlineStr">
        <ns0:is>
          <ns0:t>2026-09-17</ns0:t>
        </ns0:is>
      </ns0:c>
      <ns0:c r="B263" s="16" t="inlineStr">
        <ns0:is>
          <ns0:t>RSU2018 / 7_原始输入!B263</ns0:t>
        </ns0:is>
      </ns0:c>
      <ns0:c r="C263" s="41" t="n">
        <ns0:v>19094091</ns0:v>
      </ns0:c>
      <ns0:c r="D263" s="16" t="inlineStr">
        <ns0:is>
          <ns0:t>2026H1_interim PDF页43/42；73/72；75–77/74–76；https://www.hkexnews.hk/listedco/listconews/sehk/2026/0914/2026091401019.pdf</ns0:t>
        </ns0:is>
      </ns0:c>
      <ns0:c r="E263" s="16" t="inlineStr">
        <ns0:is>
          <ns0:t>披露；单位：股；ADS比例为股/ADS</ns0:t>
        </ns0:is>
      </ns0:c>
    </ns0:row>
    <ns0:row r="264">
      <ns0:c r="A264" s="16" t="inlineStr">
        <ns0:is>
          <ns0:t>2026-09-17</ns0:t>
        </ns0:is>
      </ns0:c>
      <ns0:c r="B264" s="16" t="inlineStr">
        <ns0:is>
          <ns0:t>RSU2026 / 7_原始输入!B264</ns0:t>
        </ns0:is>
      </ns0:c>
      <ns0:c r="C264" s="41" t="n">
        <ns0:v>7686812</ns0:v>
      </ns0:c>
      <ns0:c r="D264" s="16" t="inlineStr">
        <ns0:is>
          <ns0:t>2026H1_interim PDF页43/42；73/72；75–77/74–76；https://www.hkexnews.hk/listedco/listconews/sehk/2026/0914/2026091401019.pdf</ns0:t>
        </ns0:is>
      </ns0:c>
      <ns0:c r="E264" s="16" t="inlineStr">
        <ns0:is>
          <ns0:t>披露；单位：股；ADS比例为股/ADS</ns0:t>
        </ns0:is>
      </ns0:c>
    </ns0:row>
    <ns0:row r="265">
      <ns0:c r="A265" s="16" t="inlineStr">
        <ns0:is>
          <ns0:t>2026-09-17</ns0:t>
        </ns0:is>
      </ns0:c>
      <ns0:c r="B265" s="16" t="inlineStr">
        <ns0:is>
          <ns0:t>预发行激励股份 / 7_原始输入!B265</ns0:t>
        </ns0:is>
      </ns0:c>
      <ns0:c r="C265" s="41" t="n">
        <ns0:v>75000000</ns0:v>
      </ns0:c>
      <ns0:c r="D265" s="16" t="inlineStr">
        <ns0:is>
          <ns0:t>2026H1_interim PDF页43/42；73/72；75–77/74–76；https://www.hkexnews.hk/listedco/listconews/sehk/2026/0914/2026091401019.pdf</ns0:t>
        </ns0:is>
      </ns0:c>
      <ns0:c r="E265" s="16" t="inlineStr">
        <ns0:is>
          <ns0:t>披露；单位：股；ADS比例为股/ADS</ns0:t>
        </ns0:is>
      </ns0:c>
    </ns0:row>
    <ns0:row r="266">
      <ns0:c r="A266" s="16" t="inlineStr">
        <ns0:is>
          <ns0:t>2026-09-17</ns0:t>
        </ns0:is>
      </ns0:c>
      <ns0:c r="B266" s="16" t="inlineStr">
        <ns0:is>
          <ns0:t>半年回购 / 7_原始输入!B266</ns0:t>
        </ns0:is>
      </ns0:c>
      <ns0:c r="C266" s="41" t="n">
        <ns0:v>684809</ns0:v>
      </ns0:c>
      <ns0:c r="D266" s="16" t="inlineStr">
        <ns0:is>
          <ns0:t>2026H1_interim PDF页47/46；53–54/52–53；https://www.hkexnews.hk/listedco/listconews/sehk/2026/0914/2026091401019.pdf</ns0:t>
        </ns0:is>
      </ns0:c>
      <ns0:c r="E266" s="16" t="inlineStr">
        <ns0:is>
          <ns0:t>披露；单位：人民币千元</ns0:t>
        </ns0:is>
      </ns0:c>
    </ns0:row>
    <ns0:row r="267">
      <ns0:c r="A267" s="16" t="inlineStr">
        <ns0:is>
          <ns0:t>2026-09-17</ns0:t>
        </ns0:is>
      </ns0:c>
      <ns0:c r="B267" s="16" t="inlineStr">
        <ns0:is>
          <ns0:t>半年租赁本金 / 7_原始输入!B267</ns0:t>
        </ns0:is>
      </ns0:c>
      <ns0:c r="C267" s="41" t="n">
        <ns0:v>24578</ns0:v>
      </ns0:c>
      <ns0:c r="D267" s="16" t="inlineStr">
        <ns0:is>
          <ns0:t>2026H1_interim PDF页47/46；53–54/52–53；https://www.hkexnews.hk/listedco/listconews/sehk/2026/0914/2026091401019.pdf</ns0:t>
        </ns0:is>
      </ns0:c>
      <ns0:c r="E267" s="16" t="inlineStr">
        <ns0:is>
          <ns0:t>披露；单位：人民币千元</ns0:t>
        </ns0:is>
      </ns0:c>
    </ns0:row>
    <ns0:row r="268">
      <ns0:c r="A268" s="16" t="inlineStr">
        <ns0:is>
          <ns0:t>2026-09-17</ns0:t>
        </ns0:is>
      </ns0:c>
      <ns0:c r="B268" s="16" t="inlineStr">
        <ns0:is>
          <ns0:t>半年租赁利息 / 7_原始输入!B268</ns0:t>
        </ns0:is>
      </ns0:c>
      <ns0:c r="C268" s="41" t="n">
        <ns0:v>1330</ns0:v>
      </ns0:c>
      <ns0:c r="D268" s="16" t="inlineStr">
        <ns0:is>
          <ns0:t>2026H1_interim PDF页47/46；53–54/52–53；https://www.hkexnews.hk/listedco/listconews/sehk/2026/0914/2026091401019.pdf</ns0:t>
        </ns0:is>
      </ns0:c>
      <ns0:c r="E268" s="16" t="inlineStr">
        <ns0:is>
          <ns0:t>披露；单位：人民币千元</ns0:t>
        </ns0:is>
      </ns0:c>
    </ns0:row>
    <ns0:row r="269">
      <ns0:c r="A269" s="16" t="inlineStr">
        <ns0:is>
          <ns0:t>2026-09-17</ns0:t>
        </ns0:is>
      </ns0:c>
      <ns0:c r="B269" s="16" t="inlineStr">
        <ns0:is>
          <ns0:t>半年贷款利息 / 7_原始输入!B269</ns0:t>
        </ns0:is>
      </ns0:c>
      <ns0:c r="C269" s="41" t="n">
        <ns0:v>3711</ns0:v>
      </ns0:c>
      <ns0:c r="D269" s="16" t="inlineStr">
        <ns0:is>
          <ns0:t>2026H1_interim PDF页47/46；53–54/52–53；https://www.hkexnews.hk/listedco/listconews/sehk/2026/0914/2026091401019.pdf</ns0:t>
        </ns0:is>
      </ns0:c>
      <ns0:c r="E269" s="16" t="inlineStr">
        <ns0:is>
          <ns0:t>披露；单位：人民币千元</ns0:t>
        </ns0:is>
      </ns0:c>
    </ns0:row>
    <ns0:row r="270">
      <ns0:c r="A270" s="16" t="inlineStr">
        <ns0:is>
          <ns0:t>2026-09-17</ns0:t>
        </ns0:is>
      </ns0:c>
      <ns0:c r="B270" s="16" t="inlineStr">
        <ns0:is>
          <ns0:t>半年汇率影响 / 7_原始输入!B270</ns0:t>
        </ns0:is>
      </ns0:c>
      <ns0:c r="C270" s="41" t="n">
        <ns0:v>-170682</ns0:v>
      </ns0:c>
      <ns0:c r="D270" s="16" t="inlineStr">
        <ns0:is>
          <ns0:t>2026H1_interim PDF页47/46；53–54/52–53；https://www.hkexnews.hk/listedco/listconews/sehk/2026/0914/2026091401019.pdf</ns0:t>
        </ns0:is>
      </ns0:c>
      <ns0:c r="E270" s="16" t="inlineStr">
        <ns0:is>
          <ns0:t>披露；单位：人民币千元</ns0:t>
        </ns0:is>
      </ns0:c>
    </ns0:row>
    <ns0:row r="271">
      <ns0:c r="A271" s="16" t="inlineStr">
        <ns0:is>
          <ns0:t>2026-09-17</ns0:t>
        </ns0:is>
      </ns0:c>
      <ns0:c r="B271" s="16" t="inlineStr">
        <ns0:is>
          <ns0:t>FY2025租赁本金 / 7_原始输入!B271</ns0:t>
        </ns0:is>
      </ns0:c>
      <ns0:c r="C271" s="41" t="n">
        <ns0:v>46629</ns0:v>
      </ns0:c>
      <ns0:c r="D271" s="16" t="inlineStr">
        <ns0:is>
          <ns0:t>FY2025_20F PDF页171/F-4；178/F-11；111/108；https://ir.weride.ai/system/files-encrypted/nasdaq_kms/assets/2026/04/23/10-08-17/20-F.pdf</ns0:t>
        </ns0:is>
      </ns0:c>
      <ns0:c r="E271" s="16" t="inlineStr">
        <ns0:is>
          <ns0:t>披露；单位：人民币千元</ns0:t>
        </ns0:is>
      </ns0:c>
    </ns0:row>
    <ns0:row r="272">
      <ns0:c r="A272" s="16" t="inlineStr">
        <ns0:is>
          <ns0:t>2026-09-17</ns0:t>
        </ns0:is>
      </ns0:c>
      <ns0:c r="B272" s="16" t="inlineStr">
        <ns0:is>
          <ns0:t>FY2025租赁利息 / 7_原始输入!B272</ns0:t>
        </ns0:is>
      </ns0:c>
      <ns0:c r="C272" s="41" t="n">
        <ns0:v>2745</ns0:v>
      </ns0:c>
      <ns0:c r="D272" s="16" t="inlineStr">
        <ns0:is>
          <ns0:t>FY2025_20F PDF页171/F-4；178/F-11；111/108；https://ir.weride.ai/system/files-encrypted/nasdaq_kms/assets/2026/04/23/10-08-17/20-F.pdf</ns0:t>
        </ns0:is>
      </ns0:c>
      <ns0:c r="E272" s="16" t="inlineStr">
        <ns0:is>
          <ns0:t>披露；单位：人民币千元</ns0:t>
        </ns0:is>
      </ns0:c>
    </ns0:row>
    <ns0:row r="273">
      <ns0:c r="A273" s="16" t="inlineStr">
        <ns0:is>
          <ns0:t>2026-09-17</ns0:t>
        </ns0:is>
      </ns0:c>
      <ns0:c r="B273" s="16" t="inlineStr">
        <ns0:is>
          <ns0:t>FY2025贷款利息 / 7_原始输入!B273</ns0:t>
        </ns0:is>
      </ns0:c>
      <ns0:c r="C273" s="41" t="n">
        <ns0:v>4063</ns0:v>
      </ns0:c>
      <ns0:c r="D273" s="16" t="inlineStr">
        <ns0:is>
          <ns0:t>FY2025_20F PDF页171/F-4；178/F-11；111/108；https://ir.weride.ai/system/files-encrypted/nasdaq_kms/assets/2026/04/23/10-08-17/20-F.pdf</ns0:t>
        </ns0:is>
      </ns0:c>
      <ns0:c r="E273" s="16" t="inlineStr">
        <ns0:is>
          <ns0:t>披露；单位：人民币千元</ns0:t>
        </ns0:is>
      </ns0:c>
    </ns0:row>
    <ns0:row r="274">
      <ns0:c r="A274" s="16" t="inlineStr">
        <ns0:is>
          <ns0:t>2026-09-17</ns0:t>
        </ns0:is>
      </ns0:c>
      <ns0:c r="B274" s="16" t="inlineStr">
        <ns0:is>
          <ns0:t>H12025租赁本金 / 7_原始输入!B274</ns0:t>
        </ns0:is>
      </ns0:c>
      <ns0:c r="C274" s="41" t="n">
        <ns0:v>26810</ns0:v>
      </ns0:c>
      <ns0:c r="D274" s="16" t="inlineStr">
        <ns0:is>
          <ns0:t>2026H1_interim PDF页47/46；53–54/52–53；https://www.hkexnews.hk/listedco/listconews/sehk/2026/0914/2026091401019.pdf</ns0:t>
        </ns0:is>
      </ns0:c>
      <ns0:c r="E274" s="16" t="inlineStr">
        <ns0:is>
          <ns0:t>披露；单位：人民币千元</ns0:t>
        </ns0:is>
      </ns0:c>
    </ns0:row>
    <ns0:row r="275">
      <ns0:c r="A275" s="16" t="inlineStr">
        <ns0:is>
          <ns0:t>2026-09-17</ns0:t>
        </ns0:is>
      </ns0:c>
      <ns0:c r="B275" s="16" t="inlineStr">
        <ns0:is>
          <ns0:t>H12025租赁利息 / 7_原始输入!B275</ns0:t>
        </ns0:is>
      </ns0:c>
      <ns0:c r="C275" s="41" t="n">
        <ns0:v>1660</ns0:v>
      </ns0:c>
      <ns0:c r="D275" s="16" t="inlineStr">
        <ns0:is>
          <ns0:t>2026H1_interim PDF页47/46；53–54/52–53；https://www.hkexnews.hk/listedco/listconews/sehk/2026/0914/2026091401019.pdf</ns0:t>
        </ns0:is>
      </ns0:c>
      <ns0:c r="E275" s="16" t="inlineStr">
        <ns0:is>
          <ns0:t>披露；单位：人民币千元</ns0:t>
        </ns0:is>
      </ns0:c>
    </ns0:row>
    <ns0:row r="276">
      <ns0:c r="A276" s="16" t="inlineStr">
        <ns0:is>
          <ns0:t>2026-09-17</ns0:t>
        </ns0:is>
      </ns0:c>
      <ns0:c r="B276" s="16" t="inlineStr">
        <ns0:is>
          <ns0:t>H12025贷款利息 / 7_原始输入!B276</ns0:t>
        </ns0:is>
      </ns0:c>
      <ns0:c r="C276" s="41" t="n">
        <ns0:v>1280</ns0:v>
      </ns0:c>
      <ns0:c r="D276" s="16" t="inlineStr">
        <ns0:is>
          <ns0:t>2026H1_interim PDF页47/46；53–54/52–53；https://www.hkexnews.hk/listedco/listconews/sehk/2026/0914/2026091401019.pdf</ns0:t>
        </ns0:is>
      </ns0:c>
      <ns0:c r="E276" s="16" t="inlineStr">
        <ns0:is>
          <ns0:t>披露；单位：人民币千元</ns0:t>
        </ns0:is>
      </ns0:c>
    </ns0:row>
    <ns0:row r="277">
      <ns0:c r="A277" s="16" t="inlineStr">
        <ns0:is>
          <ns0:t>2026-09-17</ns0:t>
        </ns0:is>
      </ns0:c>
      <ns0:c r="B277" s="16" t="inlineStr">
        <ns0:is>
          <ns0:t>汇率 / 7_原始输入!B277</ns0:t>
        </ns0:is>
      </ns0:c>
      <ns0:c r="C277" s="41" t="n">
        <ns0:v>6.7851</ns0:v>
      </ns0:c>
      <ns0:c r="D277" s="16" t="inlineStr">
        <ns0:is>
          <ns0:t>PONY_2026Q2公告汇率说明（2026-06-30美联储H.10）</ns0:t>
        </ns0:is>
      </ns0:c>
      <ns0:c r="E277" s="16" t="inlineStr">
        <ns0:is>
          <ns0:t>披露汇率；单位：参数</ns0:t>
        </ns0:is>
      </ns0:c>
    </ns0:row>
    <ns0:row r="278">
      <ns0:c r="A278" s="16" t="inlineStr">
        <ns0:is>
          <ns0:t>2026-09-17</ns0:t>
        </ns0:is>
      </ns0:c>
      <ns0:c r="B278" s="16" t="inlineStr">
        <ns0:is>
          <ns0:t>要求回报 / 7_原始输入!B278</ns0:t>
        </ns0:is>
      </ns0:c>
      <ns0:c r="C278" s="41" t="n">
        <ns0:v>0.1</ns0:v>
      </ns0:c>
      <ns0:c r="D278" s="16" t="inlineStr">
        <ns0:is>
          <ns0:t>Noah v1.2 [C1]/[C3]；其余为本报告显式分析假设或单位常数</ns0:t>
        </ns0:is>
      </ns0:c>
      <ns0:c r="E278" s="16" t="inlineStr">
        <ns0:is>
          <ns0:t>假设/单位常数；非公司指引；单位：参数</ns0:t>
        </ns0:is>
      </ns0:c>
    </ns0:row>
    <ns0:row r="279">
      <ns0:c r="A279" s="16" t="inlineStr">
        <ns0:is>
          <ns0:t>2026-09-17</ns0:t>
        </ns0:is>
      </ns0:c>
      <ns0:c r="B279" s="16" t="inlineStr">
        <ns0:is>
          <ns0:t>期限年 / 7_原始输入!B279</ns0:t>
        </ns0:is>
      </ns0:c>
      <ns0:c r="C279" s="41" t="n">
        <ns0:v>10</ns0:v>
      </ns0:c>
      <ns0:c r="D279" s="16" t="inlineStr">
        <ns0:is>
          <ns0:t>Noah v1.2 [C1]/[C3]；其余为本报告显式分析假设或单位常数</ns0:t>
        </ns0:is>
      </ns0:c>
      <ns0:c r="E279" s="16" t="inlineStr">
        <ns0:is>
          <ns0:t>假设/单位常数；非公司指引；单位：参数</ns0:t>
        </ns0:is>
      </ns0:c>
    </ns0:row>
    <ns0:row r="280">
      <ns0:c r="A280" s="16" t="inlineStr">
        <ns0:is>
          <ns0:t>2026-09-17</ns0:t>
        </ns0:is>
      </ns0:c>
      <ns0:c r="B280" s="16" t="inlineStr">
        <ns0:is>
          <ns0:t>半年月数 / 7_原始输入!B280</ns0:t>
        </ns0:is>
      </ns0:c>
      <ns0:c r="C280" s="41" t="n">
        <ns0:v>6</ns0:v>
      </ns0:c>
      <ns0:c r="D280" s="16" t="inlineStr">
        <ns0:is>
          <ns0:t>Noah v1.2 [C1]/[C3]；其余为本报告显式分析假设或单位常数</ns0:t>
        </ns0:is>
      </ns0:c>
      <ns0:c r="E280" s="16" t="inlineStr">
        <ns0:is>
          <ns0:t>假设/单位常数；非公司指引；单位：参数</ns0:t>
        </ns0:is>
      </ns0:c>
    </ns0:row>
    <ns0:row r="281">
      <ns0:c r="A281" s="16" t="inlineStr">
        <ns0:is>
          <ns0:t>2026-09-17</ns0:t>
        </ns0:is>
      </ns0:c>
      <ns0:c r="B281" s="16" t="inlineStr">
        <ns0:is>
          <ns0:t>年内月数 / 7_原始输入!B281</ns0:t>
        </ns0:is>
      </ns0:c>
      <ns0:c r="C281" s="41" t="n">
        <ns0:v>12</ns0:v>
      </ns0:c>
      <ns0:c r="D281" s="16" t="inlineStr">
        <ns0:is>
          <ns0:t>Noah v1.2 [C1]/[C3]；其余为本报告显式分析假设或单位常数</ns0:t>
        </ns0:is>
      </ns0:c>
      <ns0:c r="E281" s="16" t="inlineStr">
        <ns0:is>
          <ns0:t>假设/单位常数；非公司指引；单位：参数</ns0:t>
        </ns0:is>
      </ns0:c>
    </ns0:row>
    <ns0:row r="282">
      <ns0:c r="A282" s="16" t="inlineStr">
        <ns0:is>
          <ns0:t>2026-09-17</ns0:t>
        </ns0:is>
      </ns0:c>
      <ns0:c r="B282" s="16" t="inlineStr">
        <ns0:is>
          <ns0:t>交易日年基数 / 7_原始输入!B282</ns0:t>
        </ns0:is>
      </ns0:c>
      <ns0:c r="C282" s="41" t="n">
        <ns0:v>244</ns0:v>
      </ns0:c>
      <ns0:c r="D282" s="16" t="inlineStr">
        <ns0:is>
          <ns0:t>Noah v1.2 [C1]/[C3]；其余为本报告显式分析假设或单位常数</ns0:t>
        </ns0:is>
      </ns0:c>
      <ns0:c r="E282" s="16" t="inlineStr">
        <ns0:is>
          <ns0:t>假设/单位常数；非公司指引；单位：参数</ns0:t>
        </ns0:is>
      </ns0:c>
    </ns0:row>
    <ns0:row r="283">
      <ns0:c r="A283" s="16" t="inlineStr">
        <ns0:is>
          <ns0:t>2026-09-17</ns0:t>
        </ns0:is>
      </ns0:c>
      <ns0:c r="B283" s="16" t="inlineStr">
        <ns0:is>
          <ns0:t>研究观察价 / 7_原始输入!B283</ns0:t>
        </ns0:is>
      </ns0:c>
      <ns0:c r="C283" s="41" t="n">
        <ns0:v>3.3</ns0:v>
      </ns0:c>
      <ns0:c r="D283" s="16" t="inlineStr">
        <ns0:is>
          <ns0:t>Noah v1.2 [C1]/[C3]；其余为本报告显式分析假设或单位常数</ns0:t>
        </ns0:is>
      </ns0:c>
      <ns0:c r="E283" s="16" t="inlineStr">
        <ns0:is>
          <ns0:t>假设/单位常数；非公司指引；单位：参数</ns0:t>
        </ns0:is>
      </ns0:c>
    </ns0:row>
    <ns0:row r="284">
      <ns0:c r="A284" s="16" t="inlineStr">
        <ns0:is>
          <ns0:t>2026-09-17</ns0:t>
        </ns0:is>
      </ns0:c>
      <ns0:c r="B284" s="16" t="inlineStr">
        <ns0:is>
          <ns0:t>压力烧钱倍率 / 7_原始输入!B284</ns0:t>
        </ns0:is>
      </ns0:c>
      <ns0:c r="C284" s="41" t="n">
        <ns0:v>1.5</ns0:v>
      </ns0:c>
      <ns0:c r="D284" s="16" t="inlineStr">
        <ns0:is>
          <ns0:t>Noah v1.2 [C1]/[C3]；其余为本报告显式分析假设或单位常数</ns0:t>
        </ns0:is>
      </ns0:c>
      <ns0:c r="E284" s="16" t="inlineStr">
        <ns0:is>
          <ns0:t>假设/单位常数；非公司指引；单位：参数</ns0:t>
        </ns0:is>
      </ns0:c>
    </ns0:row>
    <ns0:row r="285">
      <ns0:c r="A285" s="16" t="inlineStr">
        <ns0:is>
          <ns0:t>2026-09-17</ns0:t>
        </ns0:is>
      </ns0:c>
      <ns0:c r="B285" s="16" t="inlineStr">
        <ns0:is>
          <ns0:t>WRD_价格 / 7_原始输入!B285</ns0:t>
        </ns0:is>
      </ns0:c>
      <ns0:c r="C285" s="41" t="n">
        <ns0:v>5.51</ns0:v>
      </ns0:c>
      <ns0:c r="D285" s="16" t="inlineStr">
        <ns0:is>
          <ns0:t>https://push2.eastmoney.com/api/qt/stock/get?secid=105.WRD&amp;fields=f43%2Cf57%2Cf58%2Cf59%2Cf84%2Cf86%2Cf116%2Cf117%2Cf162%2Cf167；2026-09-16收盘</ns0:t>
        </ns0:is>
      </ns0:c>
      <ns0:c r="E285" s="16" t="inlineStr">
        <ns0:is>
          <ns0:t>行情；非完全摊薄股本；单位：USD、股/ADS；PB接口百分缩放</ns0:t>
        </ns0:is>
      </ns0:c>
    </ns0:row>
    <ns0:row r="286">
      <ns0:c r="A286" s="16" t="inlineStr">
        <ns0:is>
          <ns0:t>2026-09-17</ns0:t>
        </ns0:is>
      </ns0:c>
      <ns0:c r="B286" s="16" t="inlineStr">
        <ns0:is>
          <ns0:t>WRD_市值 / 7_原始输入!B286</ns0:t>
        </ns0:is>
      </ns0:c>
      <ns0:c r="C286" s="41" t="n">
        <ns0:v>1812548230.4017</ns0:v>
      </ns0:c>
      <ns0:c r="D286" s="16" t="inlineStr">
        <ns0:is>
          <ns0:t>https://push2.eastmoney.com/api/qt/stock/get?secid=105.WRD&amp;fields=f43%2Cf57%2Cf58%2Cf59%2Cf84%2Cf86%2Cf116%2Cf117%2Cf162%2Cf167；2026-09-16收盘</ns0:t>
        </ns0:is>
      </ns0:c>
      <ns0:c r="E286" s="16" t="inlineStr">
        <ns0:is>
          <ns0:t>行情；非完全摊薄股本；单位：USD、股/ADS；PB接口百分缩放</ns0:t>
        </ns0:is>
      </ns0:c>
    </ns0:row>
    <ns0:row r="287">
      <ns0:c r="A287" s="16" t="inlineStr">
        <ns0:is>
          <ns0:t>2026-09-17</ns0:t>
        </ns0:is>
      </ns0:c>
      <ns0:c r="B287" s="16" t="inlineStr">
        <ns0:is>
          <ns0:t>WRD_股数 / 7_原始输入!B287</ns0:t>
        </ns0:is>
      </ns0:c>
      <ns0:c r="C287" s="41" t="n">
        <ns0:v>328956121.67</ns0:v>
      </ns0:c>
      <ns0:c r="D287" s="16" t="inlineStr">
        <ns0:is>
          <ns0:t>https://push2.eastmoney.com/api/qt/stock/get?secid=105.WRD&amp;fields=f43%2Cf57%2Cf58%2Cf59%2Cf84%2Cf86%2Cf116%2Cf117%2Cf162%2Cf167；2026-09-16收盘</ns0:t>
        </ns0:is>
      </ns0:c>
      <ns0:c r="E287" s="16" t="inlineStr">
        <ns0:is>
          <ns0:t>行情；非完全摊薄股本；单位：USD、股/ADS；PB接口百分缩放</ns0:t>
        </ns0:is>
      </ns0:c>
    </ns0:row>
    <ns0:row r="288">
      <ns0:c r="A288" s="16" t="inlineStr">
        <ns0:is>
          <ns0:t>2026-09-17</ns0:t>
        </ns0:is>
      </ns0:c>
      <ns0:c r="B288" s="16" t="inlineStr">
        <ns0:is>
          <ns0:t>WRD_PB接口 / 7_原始输入!B288</ns0:t>
        </ns0:is>
      </ns0:c>
      <ns0:c r="C288" s="41" t="n">
        <ns0:v>193</ns0:v>
      </ns0:c>
      <ns0:c r="D288" s="16" t="inlineStr">
        <ns0:is>
          <ns0:t>https://push2.eastmoney.com/api/qt/stock/get?secid=105.WRD&amp;fields=f43%2Cf57%2Cf58%2Cf59%2Cf84%2Cf86%2Cf116%2Cf117%2Cf162%2Cf167；2026-09-16收盘</ns0:t>
        </ns0:is>
      </ns0:c>
      <ns0:c r="E288" s="16" t="inlineStr">
        <ns0:is>
          <ns0:t>行情；非完全摊薄股本；单位：USD、股/ADS；PB接口百分缩放</ns0:t>
        </ns0:is>
      </ns0:c>
    </ns0:row>
    <ns0:row r="289">
      <ns0:c r="A289" s="16" t="inlineStr">
        <ns0:is>
          <ns0:t>2026-09-17</ns0:t>
        </ns0:is>
      </ns0:c>
      <ns0:c r="B289" s="16" t="inlineStr">
        <ns0:is>
          <ns0:t>PONY_价格 / 7_原始输入!B289</ns0:t>
        </ns0:is>
      </ns0:c>
      <ns0:c r="C289" s="41" t="n">
        <ns0:v>6.55</ns0:v>
      </ns0:c>
      <ns0:c r="D289" s="16" t="inlineStr">
        <ns0:is>
          <ns0:t>https://push2.eastmoney.com/api/qt/stock/get?secid=105.PONY&amp;fields=f43%2Cf57%2Cf58%2Cf59%2Cf84%2Cf86%2Cf116%2Cf117%2Cf162%2Cf167；2026-09-16收盘</ns0:t>
        </ns0:is>
      </ns0:c>
      <ns0:c r="E289" s="16" t="inlineStr">
        <ns0:is>
          <ns0:t>行情；非完全摊薄股本；单位：USD、股/ADS；PB接口百分缩放</ns0:t>
        </ns0:is>
      </ns0:c>
    </ns0:row>
    <ns0:row r="290">
      <ns0:c r="A290" s="16" t="inlineStr">
        <ns0:is>
          <ns0:t>2026-09-17</ns0:t>
        </ns0:is>
      </ns0:c>
      <ns0:c r="B290" s="16" t="inlineStr">
        <ns0:is>
          <ns0:t>PONY_市值 / 7_原始输入!B290</ns0:t>
        </ns0:is>
      </ns0:c>
      <ns0:c r="C290" s="41" t="n">
        <ns0:v>2845409178.25</ns0:v>
      </ns0:c>
      <ns0:c r="D290" s="16" t="inlineStr">
        <ns0:is>
          <ns0:t>https://push2.eastmoney.com/api/qt/stock/get?secid=105.PONY&amp;fields=f43%2Cf57%2Cf58%2Cf59%2Cf84%2Cf86%2Cf116%2Cf117%2Cf162%2Cf167；2026-09-16收盘</ns0:t>
        </ns0:is>
      </ns0:c>
      <ns0:c r="E290" s="16" t="inlineStr">
        <ns0:is>
          <ns0:t>行情；非完全摊薄股本；单位：USD、股/ADS；PB接口百分缩放</ns0:t>
        </ns0:is>
      </ns0:c>
    </ns0:row>
    <ns0:row r="291">
      <ns0:c r="A291" s="16" t="inlineStr">
        <ns0:is>
          <ns0:t>2026-09-17</ns0:t>
        </ns0:is>
      </ns0:c>
      <ns0:c r="B291" s="16" t="inlineStr">
        <ns0:is>
          <ns0:t>PONY_股数 / 7_原始输入!B291</ns0:t>
        </ns0:is>
      </ns0:c>
      <ns0:c r="C291" s="41" t="n">
        <ns0:v>434413615</ns0:v>
      </ns0:c>
      <ns0:c r="D291" s="16" t="inlineStr">
        <ns0:is>
          <ns0:t>https://push2.eastmoney.com/api/qt/stock/get?secid=105.PONY&amp;fields=f43%2Cf57%2Cf58%2Cf59%2Cf84%2Cf86%2Cf116%2Cf117%2Cf162%2Cf167；2026-09-16收盘</ns0:t>
        </ns0:is>
      </ns0:c>
      <ns0:c r="E291" s="16" t="inlineStr">
        <ns0:is>
          <ns0:t>行情；非完全摊薄股本；单位：USD、股/ADS；PB接口百分缩放</ns0:t>
        </ns0:is>
      </ns0:c>
    </ns0:row>
    <ns0:row r="292">
      <ns0:c r="A292" s="16" t="inlineStr">
        <ns0:is>
          <ns0:t>2026-09-17</ns0:t>
        </ns0:is>
      </ns0:c>
      <ns0:c r="B292" s="16" t="inlineStr">
        <ns0:is>
          <ns0:t>PONY_PB接口 / 7_原始输入!B292</ns0:t>
        </ns0:is>
      </ns0:c>
      <ns0:c r="C292" s="41" t="n">
        <ns0:v>181</ns0:v>
      </ns0:c>
      <ns0:c r="D292" s="16" t="inlineStr">
        <ns0:is>
          <ns0:t>https://push2.eastmoney.com/api/qt/stock/get?secid=105.PONY&amp;fields=f43%2Cf57%2Cf58%2Cf59%2Cf84%2Cf86%2Cf116%2Cf117%2Cf162%2Cf167；2026-09-16收盘</ns0:t>
        </ns0:is>
      </ns0:c>
      <ns0:c r="E292" s="16" t="inlineStr">
        <ns0:is>
          <ns0:t>行情；非完全摊薄股本；单位：USD、股/ADS；PB接口百分缩放</ns0:t>
        </ns0:is>
      </ns0:c>
    </ns0:row>
    <ns0:row r="293">
      <ns0:c r="A293" s="16" t="inlineStr">
        <ns0:is>
          <ns0:t>2026-09-17</ns0:t>
        </ns0:is>
      </ns0:c>
      <ns0:c r="B293" s="16" t="inlineStr">
        <ns0:is>
          <ns0:t>AUR_价格 / 7_原始输入!B293</ns0:t>
        </ns0:is>
      </ns0:c>
      <ns0:c r="C293" s="41" t="n">
        <ns0:v>6.36</ns0:v>
      </ns0:c>
      <ns0:c r="D293" s="16" t="inlineStr">
        <ns0:is>
          <ns0:t>https://push2.eastmoney.com/api/qt/stock/get?secid=105.AUR&amp;fields=f43%2Cf57%2Cf58%2Cf59%2Cf84%2Cf86%2Cf116%2Cf117%2Cf162%2Cf167；2026-09-16收盘</ns0:t>
        </ns0:is>
      </ns0:c>
      <ns0:c r="E293" s="16" t="inlineStr">
        <ns0:is>
          <ns0:t>行情；非完全摊薄股本；单位：USD、股/ADS；PB接口百分缩放</ns0:t>
        </ns0:is>
      </ns0:c>
    </ns0:row>
    <ns0:row r="294">
      <ns0:c r="A294" s="16" t="inlineStr">
        <ns0:is>
          <ns0:t>2026-09-17</ns0:t>
        </ns0:is>
      </ns0:c>
      <ns0:c r="B294" s="16" t="inlineStr">
        <ns0:is>
          <ns0:t>AUR_市值 / 7_原始输入!B294</ns0:t>
        </ns0:is>
      </ns0:c>
      <ns0:c r="C294" s="41" t="n">
        <ns0:v>12746427504.48</ns0:v>
      </ns0:c>
      <ns0:c r="D294" s="16" t="inlineStr">
        <ns0:is>
          <ns0:t>https://push2.eastmoney.com/api/qt/stock/get?secid=105.AUR&amp;fields=f43%2Cf57%2Cf58%2Cf59%2Cf84%2Cf86%2Cf116%2Cf117%2Cf162%2Cf167；2026-09-16收盘</ns0:t>
        </ns0:is>
      </ns0:c>
      <ns0:c r="E294" s="16" t="inlineStr">
        <ns0:is>
          <ns0:t>行情；非完全摊薄股本；单位：USD、股/ADS；PB接口百分缩放</ns0:t>
        </ns0:is>
      </ns0:c>
    </ns0:row>
    <ns0:row r="295">
      <ns0:c r="A295" s="16" t="inlineStr">
        <ns0:is>
          <ns0:t>2026-09-17</ns0:t>
        </ns0:is>
      </ns0:c>
      <ns0:c r="B295" s="16" t="inlineStr">
        <ns0:is>
          <ns0:t>AUR_股数 / 7_原始输入!B295</ns0:t>
        </ns0:is>
      </ns0:c>
      <ns0:c r="C295" s="41" t="n">
        <ns0:v>2004155268</ns0:v>
      </ns0:c>
      <ns0:c r="D295" s="16" t="inlineStr">
        <ns0:is>
          <ns0:t>https://push2.eastmoney.com/api/qt/stock/get?secid=105.AUR&amp;fields=f43%2Cf57%2Cf58%2Cf59%2Cf84%2Cf86%2Cf116%2Cf117%2Cf162%2Cf167；2026-09-16收盘</ns0:t>
        </ns0:is>
      </ns0:c>
      <ns0:c r="E295" s="16" t="inlineStr">
        <ns0:is>
          <ns0:t>行情；非完全摊薄股本；单位：USD、股/ADS；PB接口百分缩放</ns0:t>
        </ns0:is>
      </ns0:c>
    </ns0:row>
    <ns0:row r="296">
      <ns0:c r="A296" s="16" t="inlineStr">
        <ns0:is>
          <ns0:t>2026-09-17</ns0:t>
        </ns0:is>
      </ns0:c>
      <ns0:c r="B296" s="16" t="inlineStr">
        <ns0:is>
          <ns0:t>AUR_PB接口 / 7_原始输入!B296</ns0:t>
        </ns0:is>
      </ns0:c>
      <ns0:c r="C296" s="41" t="n">
        <ns0:v>653</ns0:v>
      </ns0:c>
      <ns0:c r="D296" s="16" t="inlineStr">
        <ns0:is>
          <ns0:t>https://push2.eastmoney.com/api/qt/stock/get?secid=105.AUR&amp;fields=f43%2Cf57%2Cf58%2Cf59%2Cf84%2Cf86%2Cf116%2Cf117%2Cf162%2Cf167；2026-09-16收盘</ns0:t>
        </ns0:is>
      </ns0:c>
      <ns0:c r="E296" s="16" t="inlineStr">
        <ns0:is>
          <ns0:t>行情；非完全摊薄股本；单位：USD、股/ADS；PB接口百分缩放</ns0:t>
        </ns0:is>
      </ns0:c>
    </ns0:row>
    <ns0:row r="297">
      <ns0:c r="A297" s="16" t="inlineStr">
        <ns0:is>
          <ns0:t>2026-09-17</ns0:t>
        </ns0:is>
      </ns0:c>
      <ns0:c r="B297" s="16" t="inlineStr">
        <ns0:is>
          <ns0:t>PONY_收入 / 7_原始输入!B297</ns0:t>
        </ns0:is>
      </ns0:c>
      <ns0:c r="C297" s="41" t="n">
        <ns0:v>70470</ns0:v>
      </ns0:c>
      <ns0:c r="D297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297" s="16" t="inlineStr">
        <ns0:is>
          <ns0:t>半年未经审计；capex精确值已核，Q1 12455+Q2 32163=44618；单位：USD千元</ns0:t>
        </ns0:is>
      </ns0:c>
    </ns0:row>
    <ns0:row r="298">
      <ns0:c r="A298" s="16" t="inlineStr">
        <ns0:is>
          <ns0:t>2026-09-17</ns0:t>
        </ns0:is>
      </ns0:c>
      <ns0:c r="B298" s="16" t="inlineStr">
        <ns0:is>
          <ns0:t>PONY_去年收入 / 7_原始输入!B298</ns0:t>
        </ns0:is>
      </ns0:c>
      <ns0:c r="C298" s="41" t="n">
        <ns0:v>35434</ns0:v>
      </ns0:c>
      <ns0:c r="D298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298" s="16" t="inlineStr">
        <ns0:is>
          <ns0:t>半年未经审计；capex精确值已核，Q1 12455+Q2 32163=44618；单位：USD千元</ns0:t>
        </ns0:is>
      </ns0:c>
    </ns0:row>
    <ns0:row r="299">
      <ns0:c r="A299" s="16" t="inlineStr">
        <ns0:is>
          <ns0:t>2026-09-17</ns0:t>
        </ns0:is>
      </ns0:c>
      <ns0:c r="B299" s="16" t="inlineStr">
        <ns0:is>
          <ns0:t>PONY_毛利 / 7_原始输入!B299</ns0:t>
        </ns0:is>
      </ns0:c>
      <ns0:c r="C299" s="41" t="n">
        <ns0:v>11911</ns0:v>
      </ns0:c>
      <ns0:c r="D299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299" s="16" t="inlineStr">
        <ns0:is>
          <ns0:t>半年未经审计；capex精确值已核，Q1 12455+Q2 32163=44618；单位：USD千元</ns0:t>
        </ns0:is>
      </ns0:c>
    </ns0:row>
    <ns0:row r="300">
      <ns0:c r="A300" s="16" t="inlineStr">
        <ns0:is>
          <ns0:t>2026-09-17</ns0:t>
        </ns0:is>
      </ns0:c>
      <ns0:c r="B300" s="16" t="inlineStr">
        <ns0:is>
          <ns0:t>PONY_净亏损 / 7_原始输入!B300</ns0:t>
        </ns0:is>
      </ns0:c>
      <ns0:c r="C300" s="41" t="n">
        <ns0:v>-98861</ns0:v>
      </ns0:c>
      <ns0:c r="D300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0" s="16" t="inlineStr">
        <ns0:is>
          <ns0:t>半年未经审计；capex精确值已核，Q1 12455+Q2 32163=44618；单位：USD千元</ns0:t>
        </ns0:is>
      </ns0:c>
    </ns0:row>
    <ns0:row r="301">
      <ns0:c r="A301" s="16" t="inlineStr">
        <ns0:is>
          <ns0:t>2026-09-17</ns0:t>
        </ns0:is>
      </ns0:c>
      <ns0:c r="B301" s="16" t="inlineStr">
        <ns0:is>
          <ns0:t>PONY_归母亏损 / 7_原始输入!B301</ns0:t>
        </ns0:is>
      </ns0:c>
      <ns0:c r="C301" s="41" t="n">
        <ns0:v>-110251</ns0:v>
      </ns0:c>
      <ns0:c r="D301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1" s="16" t="inlineStr">
        <ns0:is>
          <ns0:t>半年未经审计；capex精确值已核，Q1 12455+Q2 32163=44618；单位：USD千元</ns0:t>
        </ns0:is>
      </ns0:c>
    </ns0:row>
    <ns0:row r="302">
      <ns0:c r="A302" s="16" t="inlineStr">
        <ns0:is>
          <ns0:t>2026-09-17</ns0:t>
        </ns0:is>
      </ns0:c>
      <ns0:c r="B302" s="16" t="inlineStr">
        <ns0:is>
          <ns0:t>PONY_NCI利润 / 7_原始输入!B302</ns0:t>
        </ns0:is>
      </ns0:c>
      <ns0:c r="C302" s="41" t="n">
        <ns0:v>11390</ns0:v>
      </ns0:c>
      <ns0:c r="D302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2" s="16" t="inlineStr">
        <ns0:is>
          <ns0:t>半年未经审计；capex精确值已核，Q1 12455+Q2 32163=44618；单位：USD千元</ns0:t>
        </ns0:is>
      </ns0:c>
    </ns0:row>
    <ns0:row r="303">
      <ns0:c r="A303" s="16" t="inlineStr">
        <ns0:is>
          <ns0:t>2026-09-17</ns0:t>
        </ns0:is>
      </ns0:c>
      <ns0:c r="B303" s="16" t="inlineStr">
        <ns0:is>
          <ns0:t>PONY_OCF / 7_原始输入!B303</ns0:t>
        </ns0:is>
      </ns0:c>
      <ns0:c r="C303" s="41" t="n">
        <ns0:v>-118215</ns0:v>
      </ns0:c>
      <ns0:c r="D303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3" s="16" t="inlineStr">
        <ns0:is>
          <ns0:t>半年未经审计；capex精确值已核，Q1 12455+Q2 32163=44618；单位：USD千元</ns0:t>
        </ns0:is>
      </ns0:c>
    </ns0:row>
    <ns0:row r="304">
      <ns0:c r="A304" s="16" t="inlineStr">
        <ns0:is>
          <ns0:t>2026-09-17</ns0:t>
        </ns0:is>
      </ns0:c>
      <ns0:c r="B304" s="16" t="inlineStr">
        <ns0:is>
          <ns0:t>PONY_去年OCF / 7_原始输入!B304</ns0:t>
        </ns0:is>
      </ns0:c>
      <ns0:c r="C304" s="41" t="n">
        <ns0:v>-79570</ns0:v>
      </ns0:c>
      <ns0:c r="D304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4" s="16" t="inlineStr">
        <ns0:is>
          <ns0:t>半年未经审计；capex精确值已核，Q1 12455+Q2 32163=44618；单位：USD千元</ns0:t>
        </ns0:is>
      </ns0:c>
    </ns0:row>
    <ns0:row r="305">
      <ns0:c r="A305" s="16" t="inlineStr">
        <ns0:is>
          <ns0:t>2026-09-17</ns0:t>
        </ns0:is>
      </ns0:c>
      <ns0:c r="B305" s="16" t="inlineStr">
        <ns0:is>
          <ns0:t>PONY_capex / 7_原始输入!B305</ns0:t>
        </ns0:is>
      </ns0:c>
      <ns0:c r="C305" s="41" t="n">
        <ns0:v>44618</ns0:v>
      </ns0:c>
      <ns0:c r="D305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5" s="16" t="inlineStr">
        <ns0:is>
          <ns0:t>半年未经审计；capex精确值已核，Q1 12455+Q2 32163=44618；单位：USD千元</ns0:t>
        </ns0:is>
      </ns0:c>
    </ns0:row>
    <ns0:row r="306">
      <ns0:c r="A306" s="16" t="inlineStr">
        <ns0:is>
          <ns0:t>2026-09-17</ns0:t>
        </ns0:is>
      </ns0:c>
      <ns0:c r="B306" s="16" t="inlineStr">
        <ns0:is>
          <ns0:t>PONY_去年capex / 7_原始输入!B306</ns0:t>
        </ns0:is>
      </ns0:c>
      <ns0:c r="C306" s="41" t="n">
        <ns0:v>14464</ns0:v>
      </ns0:c>
      <ns0:c r="D306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6" s="16" t="inlineStr">
        <ns0:is>
          <ns0:t>半年未经审计；capex精确值已核，Q1 12455+Q2 32163=44618；单位：USD千元</ns0:t>
        </ns0:is>
      </ns0:c>
    </ns0:row>
    <ns0:row r="307">
      <ns0:c r="A307" s="16" t="inlineStr">
        <ns0:is>
          <ns0:t>2026-09-17</ns0:t>
        </ns0:is>
      </ns0:c>
      <ns0:c r="B307" s="16" t="inlineStr">
        <ns0:is>
          <ns0:t>PONY_现金 / 7_原始输入!B307</ns0:t>
        </ns0:is>
      </ns0:c>
      <ns0:c r="C307" s="41" t="n">
        <ns0:v>327111</ns0:v>
      </ns0:c>
      <ns0:c r="D307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7" s="16" t="inlineStr">
        <ns0:is>
          <ns0:t>半年未经审计；capex精确值已核，Q1 12455+Q2 32163=44618；单位：USD千元</ns0:t>
        </ns0:is>
      </ns0:c>
    </ns0:row>
    <ns0:row r="308">
      <ns0:c r="A308" s="16" t="inlineStr">
        <ns0:is>
          <ns0:t>2026-09-17</ns0:t>
        </ns0:is>
      </ns0:c>
      <ns0:c r="B308" s="16" t="inlineStr">
        <ns0:is>
          <ns0:t>PONY_短期投资 / 7_原始输入!B308</ns0:t>
        </ns0:is>
      </ns0:c>
      <ns0:c r="C308" s="41" t="n">
        <ns0:v>787008</ns0:v>
      </ns0:c>
      <ns0:c r="D308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8" s="16" t="inlineStr">
        <ns0:is>
          <ns0:t>半年未经审计；capex精确值已核，Q1 12455+Q2 32163=44618；单位：USD千元</ns0:t>
        </ns0:is>
      </ns0:c>
    </ns0:row>
    <ns0:row r="309">
      <ns0:c r="A309" s="16" t="inlineStr">
        <ns0:is>
          <ns0:t>2026-09-17</ns0:t>
        </ns0:is>
      </ns0:c>
      <ns0:c r="B309" s="16" t="inlineStr">
        <ns0:is>
          <ns0:t>PONY_受限现金流动 / 7_原始输入!B309</ns0:t>
        </ns0:is>
      </ns0:c>
      <ns0:c r="C309" s="41" t="n">
        <ns0:v>4678</ns0:v>
      </ns0:c>
      <ns0:c r="D309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9" s="16" t="inlineStr">
        <ns0:is>
          <ns0:t>半年未经审计；capex精确值已核，Q1 12455+Q2 32163=44618；单位：USD千元</ns0:t>
        </ns0:is>
      </ns0:c>
    </ns0:row>
    <ns0:row r="310">
      <ns0:c r="A310" s="16" t="inlineStr">
        <ns0:is>
          <ns0:t>2026-09-17</ns0:t>
        </ns0:is>
      </ns0:c>
      <ns0:c r="B310" s="16" t="inlineStr">
        <ns0:is>
          <ns0:t>PONY_受限现金非流动 / 7_原始输入!B310</ns0:t>
        </ns0:is>
      </ns0:c>
      <ns0:c r="C310" s="41" t="n">
        <ns0:v>117</ns0:v>
      </ns0:c>
      <ns0:c r="D310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0" s="16" t="inlineStr">
        <ns0:is>
          <ns0:t>半年未经审计；capex精确值已核，Q1 12455+Q2 32163=44618；单位：USD千元</ns0:t>
        </ns0:is>
      </ns0:c>
    </ns0:row>
    <ns0:row r="311">
      <ns0:c r="A311" s="16" t="inlineStr">
        <ns0:is>
          <ns0:t>2026-09-17</ns0:t>
        </ns0:is>
      </ns0:c>
      <ns0:c r="B311" s="16" t="inlineStr">
        <ns0:is>
          <ns0:t>PONY_长期投资 / 7_原始输入!B311</ns0:t>
        </ns0:is>
      </ns0:c>
      <ns0:c r="C311" s="41" t="n">
        <ns0:v>375660</ns0:v>
      </ns0:c>
      <ns0:c r="D311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1" s="16" t="inlineStr">
        <ns0:is>
          <ns0:t>半年未经审计；capex精确值已核，Q1 12455+Q2 32163=44618；单位：USD千元</ns0:t>
        </ns0:is>
      </ns0:c>
    </ns0:row>
    <ns0:row r="312">
      <ns0:c r="A312" s="16" t="inlineStr">
        <ns0:is>
          <ns0:t>2026-09-17</ns0:t>
        </ns0:is>
      </ns0:c>
      <ns0:c r="B312" s="16" t="inlineStr">
        <ns0:is>
          <ns0:t>PONY_归母权益 / 7_原始输入!B312</ns0:t>
        </ns0:is>
      </ns0:c>
      <ns0:c r="C312" s="41" t="n">
        <ns0:v>1575534</ns0:v>
      </ns0:c>
      <ns0:c r="D312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2" s="16" t="inlineStr">
        <ns0:is>
          <ns0:t>半年未经审计；capex精确值已核，Q1 12455+Q2 32163=44618；单位：USD千元</ns0:t>
        </ns0:is>
      </ns0:c>
    </ns0:row>
    <ns0:row r="313">
      <ns0:c r="A313" s="16" t="inlineStr">
        <ns0:is>
          <ns0:t>2026-09-17</ns0:t>
        </ns0:is>
      </ns0:c>
      <ns0:c r="B313" s="16" t="inlineStr">
        <ns0:is>
          <ns0:t>PONY_总负债 / 7_原始输入!B313</ns0:t>
        </ns0:is>
      </ns0:c>
      <ns0:c r="C313" s="41" t="n">
        <ns0:v>93005</ns0:v>
      </ns0:c>
      <ns0:c r="D313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3" s="16" t="inlineStr">
        <ns0:is>
          <ns0:t>半年未经审计；capex精确值已核，Q1 12455+Q2 32163=44618；单位：USD千元</ns0:t>
        </ns0:is>
      </ns0:c>
    </ns0:row>
    <ns0:row r="314">
      <ns0:c r="A314" s="16" t="inlineStr">
        <ns0:is>
          <ns0:t>2026-09-17</ns0:t>
        </ns0:is>
      </ns0:c>
      <ns0:c r="B314" s="16" t="inlineStr">
        <ns0:is>
          <ns0:t>PONY_Robotaxi / 7_原始输入!B314</ns0:t>
        </ns0:is>
      </ns0:c>
      <ns0:c r="C314" s="41" t="n">
        <ns0:v>20643</ns0:v>
      </ns0:c>
      <ns0:c r="D314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4" s="16" t="inlineStr">
        <ns0:is>
          <ns0:t>半年未经审计；capex精确值已核，Q1 12455+Q2 32163=44618；单位：USD千元</ns0:t>
        </ns0:is>
      </ns0:c>
    </ns0:row>
    <ns0:row r="315">
      <ns0:c r="A315" s="16" t="inlineStr">
        <ns0:is>
          <ns0:t>2026-09-17</ns0:t>
        </ns0:is>
      </ns0:c>
      <ns0:c r="B315" s="16" t="inlineStr">
        <ns0:is>
          <ns0:t>PONY_Robotruck / 7_原始输入!B315</ns0:t>
        </ns0:is>
      </ns0:c>
      <ns0:c r="C315" s="41" t="n">
        <ns0:v>23524</ns0:v>
      </ns0:c>
      <ns0:c r="D315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5" s="16" t="inlineStr">
        <ns0:is>
          <ns0:t>半年未经审计；capex精确值已核，Q1 12455+Q2 32163=44618；单位：USD千元</ns0:t>
        </ns0:is>
      </ns0:c>
    </ns0:row>
    <ns0:row r="316">
      <ns0:c r="A316" s="16" t="inlineStr">
        <ns0:is>
          <ns0:t>2026-09-17</ns0:t>
        </ns0:is>
      </ns0:c>
      <ns0:c r="B316" s="16" t="inlineStr">
        <ns0:is>
          <ns0:t>PONY_Intelligent / 7_原始输入!B316</ns0:t>
        </ns0:is>
      </ns0:c>
      <ns0:c r="C316" s="41" t="n">
        <ns0:v>26303</ns0:v>
      </ns0:c>
      <ns0:c r="D316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6" s="16" t="inlineStr">
        <ns0:is>
          <ns0:t>半年未经审计；capex精确值已核，Q1 12455+Q2 32163=44618；单位：USD千元</ns0:t>
        </ns0:is>
      </ns0:c>
    </ns0:row>
    <ns0:row r="317">
      <ns0:c r="A317" s="16" t="inlineStr">
        <ns0:is>
          <ns0:t>2026-09-17</ns0:t>
        </ns0:is>
      </ns0:c>
      <ns0:c r="B317" s="16" t="inlineStr">
        <ns0:is>
          <ns0:t>2023_Robotaxi及相关服务 / 7_原始输入!B317</ns0:t>
        </ns0:is>
      </ns0:c>
      <ns0:c r="C317" s="41" t="n">
        <ns0:v>29379</ns0:v>
      </ns0:c>
      <ns0:c r="D317" s="16" t="inlineStr">
        <ns0:is>
          <ns0:t>FY2025_20F PDF页196–197/F-29–30；附注4/5；https://ir.weride.ai/system/files-encrypted/nasdaq_kms/assets/2026/04/23/10-08-17/20-F.pdf</ns0:t>
        </ns0:is>
      </ns0:c>
      <ns0:c r="E317" s="16" t="inlineStr">
        <ns0:is>
          <ns0:t>披露；单位：人民币千元</ns0:t>
        </ns0:is>
      </ns0:c>
    </ns0:row>
    <ns0:row r="318">
      <ns0:c r="A318" s="16" t="inlineStr">
        <ns0:is>
          <ns0:t>2026-09-17</ns0:t>
        </ns0:is>
      </ns0:c>
      <ns0:c r="B318" s="16" t="inlineStr">
        <ns0:is>
          <ns0:t>2024_Robotaxi及相关服务 / 7_原始输入!B318</ns0:t>
        </ns0:is>
      </ns0:c>
      <ns0:c r="C318" s="41" t="n">
        <ns0:v>47832</ns0:v>
      </ns0:c>
      <ns0:c r="D318" s="16" t="inlineStr">
        <ns0:is>
          <ns0:t>FY2025_20F PDF页196–197/F-29–30；附注4/5；https://ir.weride.ai/system/files-encrypted/nasdaq_kms/assets/2026/04/23/10-08-17/20-F.pdf</ns0:t>
        </ns0:is>
      </ns0:c>
      <ns0:c r="E318" s="16" t="inlineStr">
        <ns0:is>
          <ns0:t>披露；单位：人民币千元</ns0:t>
        </ns0:is>
      </ns0:c>
    </ns0:row>
    <ns0:row r="319">
      <ns0:c r="A319" s="16" t="inlineStr">
        <ns0:is>
          <ns0:t>2026-09-17</ns0:t>
        </ns0:is>
      </ns0:c>
      <ns0:c r="B319" s="16" t="inlineStr">
        <ns0:is>
          <ns0:t>2025_Robotaxi及相关服务 / 7_原始输入!B319</ns0:t>
        </ns0:is>
      </ns0:c>
      <ns0:c r="C319" s="41" t="n">
        <ns0:v>147993</ns0:v>
      </ns0:c>
      <ns0:c r="D319" s="16" t="inlineStr">
        <ns0:is>
          <ns0:t>FY2025_20F PDF页196–197/F-29–30；附注4/5；https://ir.weride.ai/system/files-encrypted/nasdaq_kms/assets/2026/04/23/10-08-17/20-F.pdf</ns0:t>
        </ns0:is>
      </ns0:c>
      <ns0:c r="E319" s="16" t="inlineStr">
        <ns0:is>
          <ns0:t>披露；单位：人民币千元</ns0:t>
        </ns0:is>
      </ns0:c>
    </ns0:row>
    <ns0:row r="320">
      <ns0:c r="A320" s="16" t="inlineStr">
        <ns0:is>
          <ns0:t>2026-09-17</ns0:t>
        </ns0:is>
      </ns0:c>
      <ns0:c r="B320" s="16" t="inlineStr">
        <ns0:is>
          <ns0:t>2023_Robobus / 7_原始输入!B320</ns0:t>
        </ns0:is>
      </ns0:c>
      <ns0:c r="C320" s="41" t="n">
        <ns0:v>94914</ns0:v>
      </ns0:c>
      <ns0:c r="D320" s="16" t="inlineStr">
        <ns0:is>
          <ns0:t>FY2025_20F PDF页196–197/F-29–30；附注4/5；https://ir.weride.ai/system/files-encrypted/nasdaq_kms/assets/2026/04/23/10-08-17/20-F.pdf</ns0:t>
        </ns0:is>
      </ns0:c>
      <ns0:c r="E320" s="16" t="inlineStr">
        <ns0:is>
          <ns0:t>披露；单位：人民币千元</ns0:t>
        </ns0:is>
      </ns0:c>
    </ns0:row>
    <ns0:row r="321">
      <ns0:c r="A321" s="16" t="inlineStr">
        <ns0:is>
          <ns0:t>2026-09-17</ns0:t>
        </ns0:is>
      </ns0:c>
      <ns0:c r="B321" s="16" t="inlineStr">
        <ns0:is>
          <ns0:t>2024_Robobus / 7_原始输入!B321</ns0:t>
        </ns0:is>
      </ns0:c>
      <ns0:c r="C321" s="41" t="n">
        <ns0:v>79688</ns0:v>
      </ns0:c>
      <ns0:c r="D321" s="16" t="inlineStr">
        <ns0:is>
          <ns0:t>FY2025_20F PDF页196–197/F-29–30；附注4/5；https://ir.weride.ai/system/files-encrypted/nasdaq_kms/assets/2026/04/23/10-08-17/20-F.pdf</ns0:t>
        </ns0:is>
      </ns0:c>
      <ns0:c r="E321" s="16" t="inlineStr">
        <ns0:is>
          <ns0:t>披露；单位：人民币千元</ns0:t>
        </ns0:is>
      </ns0:c>
    </ns0:row>
    <ns0:row r="322">
      <ns0:c r="A322" s="16" t="inlineStr">
        <ns0:is>
          <ns0:t>2026-09-17</ns0:t>
        </ns0:is>
      </ns0:c>
      <ns0:c r="B322" s="16" t="inlineStr">
        <ns0:is>
          <ns0:t>2025_Robobus / 7_原始输入!B322</ns0:t>
        </ns0:is>
      </ns0:c>
      <ns0:c r="C322" s="41" t="n">
        <ns0:v>231473</ns0:v>
      </ns0:c>
      <ns0:c r="D322" s="16" t="inlineStr">
        <ns0:is>
          <ns0:t>FY2025_20F PDF页196–197/F-29–30；附注4/5；https://ir.weride.ai/system/files-encrypted/nasdaq_kms/assets/2026/04/23/10-08-17/20-F.pdf</ns0:t>
        </ns0:is>
      </ns0:c>
      <ns0:c r="E322" s="16" t="inlineStr">
        <ns0:is>
          <ns0:t>披露；单位：人民币千元</ns0:t>
        </ns0:is>
      </ns0:c>
    </ns0:row>
    <ns0:row r="323">
      <ns0:c r="A323" s="16" t="inlineStr">
        <ns0:is>
          <ns0:t>2026-09-17</ns0:t>
        </ns0:is>
      </ns0:c>
      <ns0:c r="B323" s="16" t="inlineStr">
        <ns0:is>
          <ns0:t>2023_Robosweeper / 7_原始输入!B323</ns0:t>
        </ns0:is>
      </ns0:c>
      <ns0:c r="C323" s="41" t="n">
        <ns0:v>7642</ns0:v>
      </ns0:c>
      <ns0:c r="D323" s="16" t="inlineStr">
        <ns0:is>
          <ns0:t>FY2025_20F PDF页196–197/F-29–30；附注4/5；https://ir.weride.ai/system/files-encrypted/nasdaq_kms/assets/2026/04/23/10-08-17/20-F.pdf</ns0:t>
        </ns0:is>
      </ns0:c>
      <ns0:c r="E323" s="16" t="inlineStr">
        <ns0:is>
          <ns0:t>披露；单位：人民币千元</ns0:t>
        </ns0:is>
      </ns0:c>
    </ns0:row>
    <ns0:row r="324">
      <ns0:c r="A324" s="16" t="inlineStr">
        <ns0:is>
          <ns0:t>2026-09-17</ns0:t>
        </ns0:is>
      </ns0:c>
      <ns0:c r="B324" s="16" t="inlineStr">
        <ns0:is>
          <ns0:t>2024_Robosweeper / 7_原始输入!B324</ns0:t>
        </ns0:is>
      </ns0:c>
      <ns0:c r="C324" s="41" t="n">
        <ns0:v>55320</ns0:v>
      </ns0:c>
      <ns0:c r="D324" s="16" t="inlineStr">
        <ns0:is>
          <ns0:t>FY2025_20F PDF页196–197/F-29–30；附注4/5；https://ir.weride.ai/system/files-encrypted/nasdaq_kms/assets/2026/04/23/10-08-17/20-F.pdf</ns0:t>
        </ns0:is>
      </ns0:c>
      <ns0:c r="E324" s="16" t="inlineStr">
        <ns0:is>
          <ns0:t>披露；单位：人民币千元</ns0:t>
        </ns0:is>
      </ns0:c>
    </ns0:row>
    <ns0:row r="325">
      <ns0:c r="A325" s="16" t="inlineStr">
        <ns0:is>
          <ns0:t>2026-09-17</ns0:t>
        </ns0:is>
      </ns0:c>
      <ns0:c r="B325" s="16" t="inlineStr">
        <ns0:is>
          <ns0:t>2025_Robosweeper / 7_原始输入!B325</ns0:t>
        </ns0:is>
      </ns0:c>
      <ns0:c r="C325" s="41" t="n">
        <ns0:v>96083</ns0:v>
      </ns0:c>
      <ns0:c r="D325" s="16" t="inlineStr">
        <ns0:is>
          <ns0:t>FY2025_20F PDF页196–197/F-29–30；附注4/5；https://ir.weride.ai/system/files-encrypted/nasdaq_kms/assets/2026/04/23/10-08-17/20-F.pdf</ns0:t>
        </ns0:is>
      </ns0:c>
      <ns0:c r="E325" s="16" t="inlineStr">
        <ns0:is>
          <ns0:t>披露；单位：人民币千元</ns0:t>
        </ns0:is>
      </ns0:c>
    </ns0:row>
    <ns0:row r="326">
      <ns0:c r="A326" s="16" t="inlineStr">
        <ns0:is>
          <ns0:t>2026-09-17</ns0:t>
        </ns0:is>
      </ns0:c>
      <ns0:c r="B326" s="16" t="inlineStr">
        <ns0:is>
          <ns0:t>2023_Robovan / 7_原始输入!B326</ns0:t>
        </ns0:is>
      </ns0:c>
      <ns0:c r="C326" s="41" t="n">
        <ns0:v>7540</ns0:v>
      </ns0:c>
      <ns0:c r="D326" s="16" t="inlineStr">
        <ns0:is>
          <ns0:t>FY2025_20F PDF页196–197/F-29–30；附注4/5；https://ir.weride.ai/system/files-encrypted/nasdaq_kms/assets/2026/04/23/10-08-17/20-F.pdf</ns0:t>
        </ns0:is>
      </ns0:c>
      <ns0:c r="E326" s="16" t="inlineStr">
        <ns0:is>
          <ns0:t>披露；单位：人民币千元</ns0:t>
        </ns0:is>
      </ns0:c>
    </ns0:row>
    <ns0:row r="327">
      <ns0:c r="A327" s="16" t="inlineStr">
        <ns0:is>
          <ns0:t>2026-09-17</ns0:t>
        </ns0:is>
      </ns0:c>
      <ns0:c r="B327" s="16" t="inlineStr">
        <ns0:is>
          <ns0:t>2024_Robovan / 7_原始输入!B327</ns0:t>
        </ns0:is>
      </ns0:c>
      <ns0:c r="C327" s="41" t="n">
        <ns0:v>13393</ns0:v>
      </ns0:c>
      <ns0:c r="D327" s="16" t="inlineStr">
        <ns0:is>
          <ns0:t>FY2025_20F PDF页196–197/F-29–30；附注4/5；https://ir.weride.ai/system/files-encrypted/nasdaq_kms/assets/2026/04/23/10-08-17/20-F.pdf</ns0:t>
        </ns0:is>
      </ns0:c>
      <ns0:c r="E327" s="16" t="inlineStr">
        <ns0:is>
          <ns0:t>披露；单位：人民币千元</ns0:t>
        </ns0:is>
      </ns0:c>
    </ns0:row>
    <ns0:row r="328">
      <ns0:c r="A328" s="16" t="inlineStr">
        <ns0:is>
          <ns0:t>2026-09-17</ns0:t>
        </ns0:is>
      </ns0:c>
      <ns0:c r="B328" s="16" t="inlineStr">
        <ns0:is>
          <ns0:t>2025_Robovan / 7_原始输入!B328</ns0:t>
        </ns0:is>
      </ns0:c>
      <ns0:c r="C328" s="41" t="n">
        <ns0:v>10493</ns0:v>
      </ns0:c>
      <ns0:c r="D328" s="16" t="inlineStr">
        <ns0:is>
          <ns0:t>FY2025_20F PDF页196–197/F-29–30；附注4/5；https://ir.weride.ai/system/files-encrypted/nasdaq_kms/assets/2026/04/23/10-08-17/20-F.pdf</ns0:t>
        </ns0:is>
      </ns0:c>
      <ns0:c r="E328" s="16" t="inlineStr">
        <ns0:is>
          <ns0:t>披露；单位：人民币千元</ns0:t>
        </ns0:is>
      </ns0:c>
    </ns0:row>
    <ns0:row r="329">
      <ns0:c r="A329" s="16" t="inlineStr">
        <ns0:is>
          <ns0:t>2026-09-17</ns0:t>
        </ns0:is>
      </ns0:c>
      <ns0:c r="B329" s="16" t="inlineStr">
        <ns0:is>
          <ns0:t>2023_其他技术服务 / 7_原始输入!B329</ns0:t>
        </ns0:is>
      </ns0:c>
      <ns0:c r="C329" s="41" t="n">
        <ns0:v>262369</ns0:v>
      </ns0:c>
      <ns0:c r="D329" s="16" t="inlineStr">
        <ns0:is>
          <ns0:t>FY2025_20F PDF页196–197/F-29–30；附注4/5；https://ir.weride.ai/system/files-encrypted/nasdaq_kms/assets/2026/04/23/10-08-17/20-F.pdf</ns0:t>
        </ns0:is>
      </ns0:c>
      <ns0:c r="E329" s="16" t="inlineStr">
        <ns0:is>
          <ns0:t>披露；单位：人民币千元</ns0:t>
        </ns0:is>
      </ns0:c>
    </ns0:row>
    <ns0:row r="330">
      <ns0:c r="A330" s="16" t="inlineStr">
        <ns0:is>
          <ns0:t>2026-09-17</ns0:t>
        </ns0:is>
      </ns0:c>
      <ns0:c r="B330" s="16" t="inlineStr">
        <ns0:is>
          <ns0:t>2024_其他技术服务 / 7_原始输入!B330</ns0:t>
        </ns0:is>
      </ns0:c>
      <ns0:c r="C330" s="41" t="n">
        <ns0:v>164901</ns0:v>
      </ns0:c>
      <ns0:c r="D330" s="16" t="inlineStr">
        <ns0:is>
          <ns0:t>FY2025_20F PDF页196–197/F-29–30；附注4/5；https://ir.weride.ai/system/files-encrypted/nasdaq_kms/assets/2026/04/23/10-08-17/20-F.pdf</ns0:t>
        </ns0:is>
      </ns0:c>
      <ns0:c r="E330" s="16" t="inlineStr">
        <ns0:is>
          <ns0:t>披露；单位：人民币千元</ns0:t>
        </ns0:is>
      </ns0:c>
    </ns0:row>
    <ns0:row r="331">
      <ns0:c r="A331" s="16" t="inlineStr">
        <ns0:is>
          <ns0:t>2026-09-17</ns0:t>
        </ns0:is>
      </ns0:c>
      <ns0:c r="B331" s="16" t="inlineStr">
        <ns0:is>
          <ns0:t>2025_其他技术服务 / 7_原始输入!B331</ns0:t>
        </ns0:is>
      </ns0:c>
      <ns0:c r="C331" s="41" t="n">
        <ns0:v>198545</ns0:v>
      </ns0:c>
      <ns0:c r="D331" s="16" t="inlineStr">
        <ns0:is>
          <ns0:t>FY2025_20F PDF页196–197/F-29–30；附注4/5；https://ir.weride.ai/system/files-encrypted/nasdaq_kms/assets/2026/04/23/10-08-17/20-F.pdf</ns0:t>
        </ns0:is>
      </ns0:c>
      <ns0:c r="E331" s="16" t="inlineStr">
        <ns0:is>
          <ns0:t>披露；单位：人民币千元</ns0:t>
        </ns0:is>
      </ns0:c>
    </ns0:row>
    <ns0:row r="332">
      <ns0:c r="A332" s="16" t="inlineStr">
        <ns0:is>
          <ns0:t>2026-09-17</ns0:t>
        </ns0:is>
      </ns0:c>
      <ns0:c r="B332" s="16" t="inlineStr">
        <ns0:is>
          <ns0:t>2023_海外 / 7_原始输入!B332</ns0:t>
        </ns0:is>
      </ns0:c>
      <ns0:c r="C332" s="41" t="n">
        <ns0:v>23832</ns0:v>
      </ns0:c>
      <ns0:c r="D332" s="16" t="inlineStr">
        <ns0:is>
          <ns0:t>FY2025_20F PDF页196–197/F-29–30；附注4/5；https://ir.weride.ai/system/files-encrypted/nasdaq_kms/assets/2026/04/23/10-08-17/20-F.pdf</ns0:t>
        </ns0:is>
      </ns0:c>
      <ns0:c r="E332" s="16" t="inlineStr">
        <ns0:is>
          <ns0:t>披露；单位：人民币千元</ns0:t>
        </ns0:is>
      </ns0:c>
    </ns0:row>
    <ns0:row r="333">
      <ns0:c r="A333" s="16" t="inlineStr">
        <ns0:is>
          <ns0:t>2026-09-17</ns0:t>
        </ns0:is>
      </ns0:c>
      <ns0:c r="B333" s="16" t="inlineStr">
        <ns0:is>
          <ns0:t>2024_海外 / 7_原始输入!B333</ns0:t>
        </ns0:is>
      </ns0:c>
      <ns0:c r="C333" s="41" t="n">
        <ns0:v>49364</ns0:v>
      </ns0:c>
      <ns0:c r="D333" s="16" t="inlineStr">
        <ns0:is>
          <ns0:t>FY2025_20F PDF页196–197/F-29–30；附注4/5；https://ir.weride.ai/system/files-encrypted/nasdaq_kms/assets/2026/04/23/10-08-17/20-F.pdf</ns0:t>
        </ns0:is>
      </ns0:c>
      <ns0:c r="E333" s="16" t="inlineStr">
        <ns0:is>
          <ns0:t>披露；单位：人民币千元</ns0:t>
        </ns0:is>
      </ns0:c>
    </ns0:row>
    <ns0:row r="334">
      <ns0:c r="A334" s="16" t="inlineStr">
        <ns0:is>
          <ns0:t>2026-09-17</ns0:t>
        </ns0:is>
      </ns0:c>
      <ns0:c r="B334" s="16" t="inlineStr">
        <ns0:is>
          <ns0:t>2025_海外 / 7_原始输入!B334</ns0:t>
        </ns0:is>
      </ns0:c>
      <ns0:c r="C334" s="41" t="n">
        <ns0:v>199761</ns0:v>
      </ns0:c>
      <ns0:c r="D334" s="16" t="inlineStr">
        <ns0:is>
          <ns0:t>FY2025_20F PDF页196–197/F-29–30；附注4/5；https://ir.weride.ai/system/files-encrypted/nasdaq_kms/assets/2026/04/23/10-08-17/20-F.pdf</ns0:t>
        </ns0:is>
      </ns0:c>
      <ns0:c r="E334" s="16" t="inlineStr">
        <ns0:is>
          <ns0:t>披露；单位：人民币千元</ns0:t>
        </ns0:is>
      </ns0:c>
    </ns0:row>
    <ns0:row r="335">
      <ns0:c r="A335" s="16" t="inlineStr">
        <ns0:is>
          <ns0:t>2026-09-17</ns0:t>
        </ns0:is>
      </ns0:c>
      <ns0:c r="B335" s="16" t="inlineStr">
        <ns0:is>
          <ns0:t>H12025_L4 / 7_原始输入!B335</ns0:t>
        </ns0:is>
      </ns0:c>
      <ns0:c r="C335" s="41" t="n">
        <ns0:v>123932</ns0:v>
      </ns0:c>
      <ns0:c r="D335" s="16" t="inlineStr">
        <ns0:is>
          <ns0:t>2026H1_interim PDF页57–59/56–58；附注3/4；https://www.hkexnews.hk/listedco/listconews/sehk/2026/0914/2026091401019.pdf</ns0:t>
        </ns0:is>
      </ns0:c>
      <ns0:c r="E335" s="16" t="inlineStr">
        <ns0:is>
          <ns0:t>披露；单位：人民币千元</ns0:t>
        </ns0:is>
      </ns0:c>
    </ns0:row>
    <ns0:row r="336">
      <ns0:c r="A336" s="16" t="inlineStr">
        <ns0:is>
          <ns0:t>2026-09-17</ns0:t>
        </ns0:is>
      </ns0:c>
      <ns0:c r="B336" s="16" t="inlineStr">
        <ns0:is>
          <ns0:t>H12026_L4 / 7_原始输入!B336</ns0:t>
        </ns0:is>
      </ns0:c>
      <ns0:c r="C336" s="41" t="n">
        <ns0:v>179475</ns0:v>
      </ns0:c>
      <ns0:c r="D336" s="16" t="inlineStr">
        <ns0:is>
          <ns0:t>2026H1_interim PDF页57–59/56–58；附注3/4；https://www.hkexnews.hk/listedco/listconews/sehk/2026/0914/2026091401019.pdf</ns0:t>
        </ns0:is>
      </ns0:c>
      <ns0:c r="E336" s="16" t="inlineStr">
        <ns0:is>
          <ns0:t>披露；单位：人民币千元</ns0:t>
        </ns0:is>
      </ns0:c>
    </ns0:row>
    <ns0:row r="337">
      <ns0:c r="A337" s="16" t="inlineStr">
        <ns0:is>
          <ns0:t>2026-09-17</ns0:t>
        </ns0:is>
      </ns0:c>
      <ns0:c r="B337" s="16" t="inlineStr">
        <ns0:is>
          <ns0:t>H12025_其他业务 / 7_原始输入!B337</ns0:t>
        </ns0:is>
      </ns0:c>
      <ns0:c r="C337" s="41" t="n">
        <ns0:v>75683</ns0:v>
      </ns0:c>
      <ns0:c r="D337" s="16" t="inlineStr">
        <ns0:is>
          <ns0:t>2026H1_interim PDF页57–59/56–58；附注3/4；https://www.hkexnews.hk/listedco/listconews/sehk/2026/0914/2026091401019.pdf</ns0:t>
        </ns0:is>
      </ns0:c>
      <ns0:c r="E337" s="16" t="inlineStr">
        <ns0:is>
          <ns0:t>披露；单位：人民币千元</ns0:t>
        </ns0:is>
      </ns0:c>
    </ns0:row>
    <ns0:row r="338">
      <ns0:c r="A338" s="16" t="inlineStr">
        <ns0:is>
          <ns0:t>2026-09-17</ns0:t>
        </ns0:is>
      </ns0:c>
      <ns0:c r="B338" s="16" t="inlineStr">
        <ns0:is>
          <ns0:t>H12026_其他业务 / 7_原始输入!B338</ns0:t>
        </ns0:is>
      </ns0:c>
      <ns0:c r="C338" s="41" t="n">
        <ns0:v>166382</ns0:v>
      </ns0:c>
      <ns0:c r="D338" s="16" t="inlineStr">
        <ns0:is>
          <ns0:t>2026H1_interim PDF页57–59/56–58；附注3/4；https://www.hkexnews.hk/listedco/listconews/sehk/2026/0914/2026091401019.pdf</ns0:t>
        </ns0:is>
      </ns0:c>
      <ns0:c r="E338" s="16" t="inlineStr">
        <ns0:is>
          <ns0:t>披露；单位：人民币千元</ns0:t>
        </ns0:is>
      </ns0:c>
    </ns0:row>
    <ns0:row r="339">
      <ns0:c r="A339" s="16" t="inlineStr">
        <ns0:is>
          <ns0:t>2026-09-17</ns0:t>
        </ns0:is>
      </ns0:c>
      <ns0:c r="B339" s="16" t="inlineStr">
        <ns0:is>
          <ns0:t>H12025_海外 / 7_原始输入!B339</ns0:t>
        </ns0:is>
      </ns0:c>
      <ns0:c r="C339" s="41" t="n">
        <ns0:v>46929</ns0:v>
      </ns0:c>
      <ns0:c r="D339" s="16" t="inlineStr">
        <ns0:is>
          <ns0:t>2026H1_interim PDF页57–59/56–58；附注3/4；https://www.hkexnews.hk/listedco/listconews/sehk/2026/0914/2026091401019.pdf</ns0:t>
        </ns0:is>
      </ns0:c>
      <ns0:c r="E339" s="16" t="inlineStr">
        <ns0:is>
          <ns0:t>披露；单位：人民币千元</ns0:t>
        </ns0:is>
      </ns0:c>
    </ns0:row>
    <ns0:row r="340">
      <ns0:c r="A340" s="16" t="inlineStr">
        <ns0:is>
          <ns0:t>2026-09-17</ns0:t>
        </ns0:is>
      </ns0:c>
      <ns0:c r="B340" s="16" t="inlineStr">
        <ns0:is>
          <ns0:t>H12026_海外 / 7_原始输入!B340</ns0:t>
        </ns0:is>
      </ns0:c>
      <ns0:c r="C340" s="41" t="n">
        <ns0:v>119299</ns0:v>
      </ns0:c>
      <ns0:c r="D340" s="16" t="inlineStr">
        <ns0:is>
          <ns0:t>2026H1_interim PDF页57–59/56–58；附注3/4；https://www.hkexnews.hk/listedco/listconews/sehk/2026/0914/2026091401019.pdf</ns0:t>
        </ns0:is>
      </ns0:c>
      <ns0:c r="E340" s="16" t="inlineStr">
        <ns0:is>
          <ns0:t>披露；单位：人民币千元</ns0:t>
        </ns0:is>
      </ns0:c>
    </ns0:row>
    <ns0:row r="341">
      <ns0:c r="A341" s="16" t="inlineStr">
        <ns0:is>
          <ns0:t>2026-09-17</ns0:t>
        </ns0:is>
      </ns0:c>
      <ns0:c r="B341" s="16" t="inlineStr">
        <ns0:is>
          <ns0:t>悲观增速低 / 7_原始输入!B341</ns0:t>
        </ns0:is>
      </ns0:c>
      <ns0:c r="C341" s="41" t="n">
        <ns0:v>0.1</ns0:v>
      </ns0:c>
      <ns0:c r="D341" s="16" t="inlineStr">
        <ns0:is>
          <ns0:t>本报告T5探索情景假设：硬件/项目混合业务，非公司指引；PE档不适用</ns0:t>
        </ns0:is>
      </ns0:c>
      <ns0:c r="E341" s="16" t="inlineStr">
        <ns0:is>
          <ns0:t>估算假设；单位：比率/倍数</ns0:t>
        </ns0:is>
      </ns0:c>
    </ns0:row>
    <ns0:row r="342">
      <ns0:c r="A342" s="16" t="inlineStr">
        <ns0:is>
          <ns0:t>2026-09-17</ns0:t>
        </ns0:is>
      </ns0:c>
      <ns0:c r="B342" s="16" t="inlineStr">
        <ns0:is>
          <ns0:t>悲观增速高 / 7_原始输入!B342</ns0:t>
        </ns0:is>
      </ns0:c>
      <ns0:c r="C342" s="41" t="n">
        <ns0:v>0.15</ns0:v>
      </ns0:c>
      <ns0:c r="D342" s="16" t="inlineStr">
        <ns0:is>
          <ns0:t>本报告T5探索情景假设：硬件/项目混合业务，非公司指引；PE档不适用</ns0:t>
        </ns0:is>
      </ns0:c>
      <ns0:c r="E342" s="16" t="inlineStr">
        <ns0:is>
          <ns0:t>估算假设；单位：比率/倍数</ns0:t>
        </ns0:is>
      </ns0:c>
    </ns0:row>
    <ns0:row r="343">
      <ns0:c r="A343" s="16" t="inlineStr">
        <ns0:is>
          <ns0:t>2026-09-17</ns0:t>
        </ns0:is>
      </ns0:c>
      <ns0:c r="B343" s="16" t="inlineStr">
        <ns0:is>
          <ns0:t>悲观PS低 / 7_原始输入!B343</ns0:t>
        </ns0:is>
      </ns0:c>
      <ns0:c r="C343" s="41" t="n">
        <ns0:v>1</ns0:v>
      </ns0:c>
      <ns0:c r="D343" s="16" t="inlineStr">
        <ns0:is>
          <ns0:t>本报告T5探索情景假设：硬件/项目混合业务，非公司指引；PE档不适用</ns0:t>
        </ns0:is>
      </ns0:c>
      <ns0:c r="E343" s="16" t="inlineStr">
        <ns0:is>
          <ns0:t>估算假设；单位：比率/倍数</ns0:t>
        </ns0:is>
      </ns0:c>
    </ns0:row>
    <ns0:row r="344">
      <ns0:c r="A344" s="16" t="inlineStr">
        <ns0:is>
          <ns0:t>2026-09-17</ns0:t>
        </ns0:is>
      </ns0:c>
      <ns0:c r="B344" s="16" t="inlineStr">
        <ns0:is>
          <ns0:t>悲观PS高 / 7_原始输入!B344</ns0:t>
        </ns0:is>
      </ns0:c>
      <ns0:c r="C344" s="41" t="n">
        <ns0:v>2</ns0:v>
      </ns0:c>
      <ns0:c r="D344" s="16" t="inlineStr">
        <ns0:is>
          <ns0:t>本报告T5探索情景假设：硬件/项目混合业务，非公司指引；PE档不适用</ns0:t>
        </ns0:is>
      </ns0:c>
      <ns0:c r="E344" s="16" t="inlineStr">
        <ns0:is>
          <ns0:t>估算假设；单位：比率/倍数</ns0:t>
        </ns0:is>
      </ns0:c>
    </ns0:row>
    <ns0:row r="345">
      <ns0:c r="A345" s="16" t="inlineStr">
        <ns0:is>
          <ns0:t>2026-09-17</ns0:t>
        </ns0:is>
      </ns0:c>
      <ns0:c r="B345" s="16" t="inlineStr">
        <ns0:is>
          <ns0:t>悲观稀释 / 7_原始输入!B345</ns0:t>
        </ns0:is>
      </ns0:c>
      <ns0:c r="C345" s="41" t="n">
        <ns0:v>0.35</ns0:v>
      </ns0:c>
      <ns0:c r="D345" s="16" t="inlineStr">
        <ns0:is>
          <ns0:t>本报告T5探索情景假设：硬件/项目混合业务，非公司指引；PE档不适用</ns0:t>
        </ns0:is>
      </ns0:c>
      <ns0:c r="E345" s="16" t="inlineStr">
        <ns0:is>
          <ns0:t>估算假设；单位：比率/倍数</ns0:t>
        </ns0:is>
      </ns0:c>
    </ns0:row>
    <ns0:row r="346">
      <ns0:c r="A346" s="16" t="inlineStr">
        <ns0:is>
          <ns0:t>2026-09-17</ns0:t>
        </ns0:is>
      </ns0:c>
      <ns0:c r="B346" s="16" t="inlineStr">
        <ns0:is>
          <ns0:t>中性增速低 / 7_原始输入!B346</ns0:t>
        </ns0:is>
      </ns0:c>
      <ns0:c r="C346" s="41" t="n">
        <ns0:v>0.25</ns0:v>
      </ns0:c>
      <ns0:c r="D346" s="16" t="inlineStr">
        <ns0:is>
          <ns0:t>本报告T5探索情景假设：硬件/项目混合业务，非公司指引；PE档不适用</ns0:t>
        </ns0:is>
      </ns0:c>
      <ns0:c r="E346" s="16" t="inlineStr">
        <ns0:is>
          <ns0:t>估算假设；单位：比率/倍数</ns0:t>
        </ns0:is>
      </ns0:c>
    </ns0:row>
    <ns0:row r="347">
      <ns0:c r="A347" s="16" t="inlineStr">
        <ns0:is>
          <ns0:t>2026-09-17</ns0:t>
        </ns0:is>
      </ns0:c>
      <ns0:c r="B347" s="16" t="inlineStr">
        <ns0:is>
          <ns0:t>中性增速高 / 7_原始输入!B347</ns0:t>
        </ns0:is>
      </ns0:c>
      <ns0:c r="C347" s="41" t="n">
        <ns0:v>0.3</ns0:v>
      </ns0:c>
      <ns0:c r="D347" s="16" t="inlineStr">
        <ns0:is>
          <ns0:t>本报告T5探索情景假设：硬件/项目混合业务，非公司指引；PE档不适用</ns0:t>
        </ns0:is>
      </ns0:c>
      <ns0:c r="E347" s="16" t="inlineStr">
        <ns0:is>
          <ns0:t>估算假设；单位：比率/倍数</ns0:t>
        </ns0:is>
      </ns0:c>
    </ns0:row>
    <ns0:row r="348">
      <ns0:c r="A348" s="16" t="inlineStr">
        <ns0:is>
          <ns0:t>2026-09-17</ns0:t>
        </ns0:is>
      </ns0:c>
      <ns0:c r="B348" s="16" t="inlineStr">
        <ns0:is>
          <ns0:t>中性PS低 / 7_原始输入!B348</ns0:t>
        </ns0:is>
      </ns0:c>
      <ns0:c r="C348" s="41" t="n">
        <ns0:v>3</ns0:v>
      </ns0:c>
      <ns0:c r="D348" s="16" t="inlineStr">
        <ns0:is>
          <ns0:t>本报告T5探索情景假设：硬件/项目混合业务，非公司指引；PE档不适用</ns0:t>
        </ns0:is>
      </ns0:c>
      <ns0:c r="E348" s="16" t="inlineStr">
        <ns0:is>
          <ns0:t>估算假设；单位：比率/倍数</ns0:t>
        </ns0:is>
      </ns0:c>
    </ns0:row>
    <ns0:row r="349">
      <ns0:c r="A349" s="16" t="inlineStr">
        <ns0:is>
          <ns0:t>2026-09-17</ns0:t>
        </ns0:is>
      </ns0:c>
      <ns0:c r="B349" s="16" t="inlineStr">
        <ns0:is>
          <ns0:t>中性PS高 / 7_原始输入!B349</ns0:t>
        </ns0:is>
      </ns0:c>
      <ns0:c r="C349" s="41" t="n">
        <ns0:v>4</ns0:v>
      </ns0:c>
      <ns0:c r="D349" s="16" t="inlineStr">
        <ns0:is>
          <ns0:t>本报告T5探索情景假设：硬件/项目混合业务，非公司指引；PE档不适用</ns0:t>
        </ns0:is>
      </ns0:c>
      <ns0:c r="E349" s="16" t="inlineStr">
        <ns0:is>
          <ns0:t>估算假设；单位：比率/倍数</ns0:t>
        </ns0:is>
      </ns0:c>
    </ns0:row>
    <ns0:row r="350">
      <ns0:c r="A350" s="16" t="inlineStr">
        <ns0:is>
          <ns0:t>2026-09-17</ns0:t>
        </ns0:is>
      </ns0:c>
      <ns0:c r="B350" s="16" t="inlineStr">
        <ns0:is>
          <ns0:t>中性稀释 / 7_原始输入!B350</ns0:t>
        </ns0:is>
      </ns0:c>
      <ns0:c r="C350" s="41" t="n">
        <ns0:v>0.2</ns0:v>
      </ns0:c>
      <ns0:c r="D350" s="16" t="inlineStr">
        <ns0:is>
          <ns0:t>本报告T5探索情景假设：硬件/项目混合业务，非公司指引；PE档不适用</ns0:t>
        </ns0:is>
      </ns0:c>
      <ns0:c r="E350" s="16" t="inlineStr">
        <ns0:is>
          <ns0:t>估算假设；单位：比率/倍数</ns0:t>
        </ns0:is>
      </ns0:c>
    </ns0:row>
    <ns0:row r="351">
      <ns0:c r="A351" s="16" t="inlineStr">
        <ns0:is>
          <ns0:t>2026-09-17</ns0:t>
        </ns0:is>
      </ns0:c>
      <ns0:c r="B351" s="16" t="inlineStr">
        <ns0:is>
          <ns0:t>乐观增速低 / 7_原始输入!B351</ns0:t>
        </ns0:is>
      </ns0:c>
      <ns0:c r="C351" s="41" t="n">
        <ns0:v>0.35</ns0:v>
      </ns0:c>
      <ns0:c r="D351" s="16" t="inlineStr">
        <ns0:is>
          <ns0:t>本报告T5探索情景假设：硬件/项目混合业务，非公司指引；PE档不适用</ns0:t>
        </ns0:is>
      </ns0:c>
      <ns0:c r="E351" s="16" t="inlineStr">
        <ns0:is>
          <ns0:t>估算假设；单位：比率/倍数</ns0:t>
        </ns0:is>
      </ns0:c>
    </ns0:row>
    <ns0:row r="352">
      <ns0:c r="A352" s="16" t="inlineStr">
        <ns0:is>
          <ns0:t>2026-09-17</ns0:t>
        </ns0:is>
      </ns0:c>
      <ns0:c r="B352" s="16" t="inlineStr">
        <ns0:is>
          <ns0:t>乐观增速高 / 7_原始输入!B352</ns0:t>
        </ns0:is>
      </ns0:c>
      <ns0:c r="C352" s="41" t="n">
        <ns0:v>0.4</ns0:v>
      </ns0:c>
      <ns0:c r="D352" s="16" t="inlineStr">
        <ns0:is>
          <ns0:t>本报告T5探索情景假设：硬件/项目混合业务，非公司指引；PE档不适用</ns0:t>
        </ns0:is>
      </ns0:c>
      <ns0:c r="E352" s="16" t="inlineStr">
        <ns0:is>
          <ns0:t>估算假设；单位：比率/倍数</ns0:t>
        </ns0:is>
      </ns0:c>
    </ns0:row>
    <ns0:row r="353">
      <ns0:c r="A353" s="16" t="inlineStr">
        <ns0:is>
          <ns0:t>2026-09-17</ns0:t>
        </ns0:is>
      </ns0:c>
      <ns0:c r="B353" s="16" t="inlineStr">
        <ns0:is>
          <ns0:t>乐观PS低 / 7_原始输入!B353</ns0:t>
        </ns0:is>
      </ns0:c>
      <ns0:c r="C353" s="41" t="n">
        <ns0:v>5</ns0:v>
      </ns0:c>
      <ns0:c r="D353" s="16" t="inlineStr">
        <ns0:is>
          <ns0:t>本报告T5探索情景假设：硬件/项目混合业务，非公司指引；PE档不适用</ns0:t>
        </ns0:is>
      </ns0:c>
      <ns0:c r="E353" s="16" t="inlineStr">
        <ns0:is>
          <ns0:t>估算假设；单位：比率/倍数</ns0:t>
        </ns0:is>
      </ns0:c>
    </ns0:row>
    <ns0:row r="354">
      <ns0:c r="A354" s="16" t="inlineStr">
        <ns0:is>
          <ns0:t>2026-09-17</ns0:t>
        </ns0:is>
      </ns0:c>
      <ns0:c r="B354" s="16" t="inlineStr">
        <ns0:is>
          <ns0:t>乐观PS高 / 7_原始输入!B354</ns0:t>
        </ns0:is>
      </ns0:c>
      <ns0:c r="C354" s="41" t="n">
        <ns0:v>6</ns0:v>
      </ns0:c>
      <ns0:c r="D354" s="16" t="inlineStr">
        <ns0:is>
          <ns0:t>本报告T5探索情景假设：硬件/项目混合业务，非公司指引；PE档不适用</ns0:t>
        </ns0:is>
      </ns0:c>
      <ns0:c r="E354" s="16" t="inlineStr">
        <ns0:is>
          <ns0:t>估算假设；单位：比率/倍数</ns0:t>
        </ns0:is>
      </ns0:c>
    </ns0:row>
    <ns0:row r="355">
      <ns0:c r="A355" s="16" t="inlineStr">
        <ns0:is>
          <ns0:t>2026-09-17</ns0:t>
        </ns0:is>
      </ns0:c>
      <ns0:c r="B355" s="16" t="inlineStr">
        <ns0:is>
          <ns0:t>乐观稀释 / 7_原始输入!B355</ns0:t>
        </ns0:is>
      </ns0:c>
      <ns0:c r="C355" s="41" t="n">
        <ns0:v>0.1</ns0:v>
      </ns0:c>
      <ns0:c r="D355" s="16" t="inlineStr">
        <ns0:is>
          <ns0:t>本报告T5探索情景假设：硬件/项目混合业务，非公司指引；PE档不适用</ns0:t>
        </ns0:is>
      </ns0:c>
      <ns0:c r="E355" s="16" t="inlineStr">
        <ns0:is>
          <ns0:t>估算假设；单位：比率/倍数</ns0:t>
        </ns0:is>
      </ns0:c>
    </ns0:row>
    <ns0:row r="356">
      <ns0:c r="A356" s="16" t="inlineStr">
        <ns0:is>
          <ns0:t>2026-09-17</ns0:t>
        </ns0:is>
      </ns0:c>
      <ns0:c r="B356" s="16" t="inlineStr">
        <ns0:is>
          <ns0:t>PB档0.8 / 7_原始输入!B356</ns0:t>
        </ns0:is>
      </ns0:c>
      <ns0:c r="C356" s="41" t="n">
        <ns0:v>0.8</ns0:v>
      </ns0:c>
      <ns0:c r="D356" s="16" t="inlineStr">
        <ns0:is>
          <ns0:t>本报告账面敏感性假设</ns0:t>
        </ns0:is>
      </ns0:c>
      <ns0:c r="E356" s="16" t="inlineStr">
        <ns0:is>
          <ns0:t>假设；单位：倍</ns0:t>
        </ns0:is>
      </ns0:c>
    </ns0:row>
    <ns0:row r="357">
      <ns0:c r="A357" s="16" t="inlineStr">
        <ns0:is>
          <ns0:t>2026-09-17</ns0:t>
        </ns0:is>
      </ns0:c>
      <ns0:c r="B357" s="16" t="inlineStr">
        <ns0:is>
          <ns0:t>PB档1 / 7_原始输入!B357</ns0:t>
        </ns0:is>
      </ns0:c>
      <ns0:c r="C357" s="41" t="n">
        <ns0:v>1</ns0:v>
      </ns0:c>
      <ns0:c r="D357" s="16" t="inlineStr">
        <ns0:is>
          <ns0:t>本报告账面敏感性假设</ns0:t>
        </ns0:is>
      </ns0:c>
      <ns0:c r="E357" s="16" t="inlineStr">
        <ns0:is>
          <ns0:t>假设；单位：倍</ns0:t>
        </ns0:is>
      </ns0:c>
    </ns0:row>
    <ns0:row r="358">
      <ns0:c r="A358" s="16" t="inlineStr">
        <ns0:is>
          <ns0:t>2026-09-17</ns0:t>
        </ns0:is>
      </ns0:c>
      <ns0:c r="B358" s="16" t="inlineStr">
        <ns0:is>
          <ns0:t>PB档1.5 / 7_原始输入!B358</ns0:t>
        </ns0:is>
      </ns0:c>
      <ns0:c r="C358" s="41" t="n">
        <ns0:v>1.5</ns0:v>
      </ns0:c>
      <ns0:c r="D358" s="16" t="inlineStr">
        <ns0:is>
          <ns0:t>本报告账面敏感性假设</ns0:t>
        </ns0:is>
      </ns0:c>
      <ns0:c r="E358" s="16" t="inlineStr">
        <ns0:is>
          <ns0:t>假设；单位：倍</ns0:t>
        </ns0:is>
      </ns0:c>
    </ns0:row>
    <ns0:row r="359">
      <ns0:c r="A359" s="16" t="inlineStr">
        <ns0:is>
          <ns0:t>2026-09-17</ns0:t>
        </ns0:is>
      </ns0:c>
      <ns0:c r="B359" s="16" t="inlineStr">
        <ns0:is>
          <ns0:t>PB档2 / 7_原始输入!B359</ns0:t>
        </ns0:is>
      </ns0:c>
      <ns0:c r="C359" s="41" t="n">
        <ns0:v>2</ns0:v>
      </ns0:c>
      <ns0:c r="D359" s="16" t="inlineStr">
        <ns0:is>
          <ns0:t>本报告账面敏感性假设</ns0:t>
        </ns0:is>
      </ns0:c>
      <ns0:c r="E359" s="16" t="inlineStr">
        <ns0:is>
          <ns0:t>假设；单位：倍</ns0:t>
        </ns0:is>
      </ns0:c>
    </ns0:row>
    <ns0:row r="360">
      <ns0:c r="A360" s="16" t="inlineStr">
        <ns0:is>
          <ns0:t>2026-09-17</ns0:t>
        </ns0:is>
      </ns0:c>
      <ns0:c r="B360" s="16" t="inlineStr">
        <ns0:is>
          <ns0:t>8_股价日线!B2:B474</ns0:t>
        </ns0:is>
      </ns0:c>
      <ns0:c r="C360" s="16" t="inlineStr">
        <ns0:is>
          <ns0:t>逐日收盘；见CSV</ns0:t>
        </ns0:is>
      </ns0:c>
      <ns0:c r="D360" s="16" t="inlineStr">
        <ns0:is>
          <ns0:t>https://push2his.eastmoney.com/api/qt/stock/kline/get?secid=105.WRD&amp;klt=101&amp;fqt=0&amp;beg=20241001&amp;end=20260916&amp;lmt=1000&amp;fields1=f1%2Cf2%2Cf3%2Cf4%2Cf5%2Cf6&amp;fields2=f51%2Cf52%2Cf53%2Cf54%2Cf55%2Cf56%2Cf57%2Cf58%2Cf59%2Cf60%2Cf61</ns0:t>
        </ns0:is>
      </ns0:c>
      <ns0:c r="E360" s="16" t="inlineStr">
        <ns0:is>
          <ns0:t>批量逐行来源相同；不复权；每行日期为有效日</ns0:t>
        </ns0:is>
      </ns0:c>
    </ns0:row>
  </ns0:sheetData>
  <ns0:printOptions horizontalCentered="1"/>
  <ns0:pageMargins left="0.75" right="0.75" top="1" bottom="1" header="0.5" footer="0.5"/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E359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0" customWidth="1" min="1" max="1"/>
    <ns0:col width="19" customWidth="1" min="2" max="2"/>
    <ns0:col width="19" customWidth="1" min="3" max="3"/>
    <ns0:col width="70" customWidth="1" min="4" max="4"/>
    <ns0:col width="65" customWidth="1" min="5" max="5"/>
  </ns0:cols>
  <ns0:sheetData>
    <ns0:row r="1">
      <ns0:c r="A1" s="15" t="inlineStr">
        <ns0:is>
          <ns0:t>键</ns0:t>
        </ns0:is>
      </ns0:c>
      <ns0:c r="B1" s="15" t="inlineStr">
        <ns0:is>
          <ns0:t>原值</ns0:t>
        </ns0:is>
      </ns0:c>
      <ns0:c r="C1" s="15" t="inlineStr">
        <ns0:is>
          <ns0:t>单位</ns0:t>
        </ns0:is>
      </ns0:c>
      <ns0:c r="D1" s="15" t="inlineStr">
        <ns0:is>
          <ns0:t>来源及页码</ns0:t>
        </ns0:is>
      </ns0:c>
      <ns0:c r="E1" s="15" t="inlineStr">
        <ns0:is>
          <ns0:t>证据等级/口径</ns0:t>
        </ns0:is>
      </ns0:c>
    </ns0:row>
    <ns0:row r="2">
      <ns0:c r="A2" s="16" t="inlineStr">
        <ns0:is>
          <ns0:t>FY2021_收入</ns0:t>
        </ns0:is>
      </ns0:c>
      <ns0:c r="B2" s="41" t="n">
        <ns0:v>138172</ns0:v>
      </ns0:c>
      <ns0:c r="C2" s="16" t="inlineStr">
        <ns0:is>
          <ns0:t>人民币千元</ns0:t>
        </ns0:is>
      </ns0:c>
      <ns0:c r="D2" s="16" t="inlineStr">
        <ns0:is>
          <ns0:t>2024_US_424B4 PDF页279/F-3；286–287/F-10–11；https://ir.weride.ai/static-files/406cbf25-bb49-4020-b913-f9cca1283c6e</ns0:t>
        </ns0:is>
      </ns0:c>
      <ns0:c r="E2" s="16" t="inlineStr">
        <ns0:is>
          <ns0:t>审计披露</ns0:t>
        </ns0:is>
      </ns0:c>
    </ns0:row>
    <ns0:row r="3">
      <ns0:c r="A3" s="16" t="inlineStr">
        <ns0:is>
          <ns0:t>FY2022_收入</ns0:t>
        </ns0:is>
      </ns0:c>
      <ns0:c r="B3" s="41" t="n">
        <ns0:v>527543</ns0:v>
      </ns0:c>
      <ns0:c r="C3" s="16" t="inlineStr">
        <ns0:is>
          <ns0:t>人民币千元</ns0:t>
        </ns0:is>
      </ns0:c>
      <ns0:c r="D3" s="16" t="inlineStr">
        <ns0:is>
          <ns0:t>FY2024_20F PDF页169/F-3；176–177/F-10–11；https://ir.weride.ai/static-files/72a895d1-7999-4f63-9d97-476c54e7ecab</ns0:t>
        </ns0:is>
      </ns0:c>
      <ns0:c r="E3" s="16" t="inlineStr">
        <ns0:is>
          <ns0:t>审计披露</ns0:t>
        </ns0:is>
      </ns0:c>
    </ns0:row>
    <ns0:row r="4">
      <ns0:c r="A4" s="16" t="inlineStr">
        <ns0:is>
          <ns0:t>FY2023_收入</ns0:t>
        </ns0:is>
      </ns0:c>
      <ns0:c r="B4" s="41" t="n">
        <ns0:v>401844</ns0:v>
      </ns0:c>
      <ns0:c r="C4" s="16" t="inlineStr">
        <ns0:is>
          <ns0:t>人民币千元</ns0:t>
        </ns0:is>
      </ns0:c>
      <ns0:c r="D4" s="16" t="inlineStr">
        <ns0:is>
          <ns0:t>FY2025_20F PDF页171/F-4；178/F-11；111/108；https://ir.weride.ai/system/files-encrypted/nasdaq_kms/assets/2026/04/23/10-08-17/20-F.pdf</ns0:t>
        </ns0:is>
      </ns0:c>
      <ns0:c r="E4" s="16" t="inlineStr">
        <ns0:is>
          <ns0:t>审计披露</ns0:t>
        </ns0:is>
      </ns0:c>
    </ns0:row>
    <ns0:row r="5">
      <ns0:c r="A5" s="16" t="inlineStr">
        <ns0:is>
          <ns0:t>FY2024_收入</ns0:t>
        </ns0:is>
      </ns0:c>
      <ns0:c r="B5" s="41" t="n">
        <ns0:v>361134</ns0:v>
      </ns0:c>
      <ns0:c r="C5" s="16" t="inlineStr">
        <ns0:is>
          <ns0:t>人民币千元</ns0:t>
        </ns0:is>
      </ns0:c>
      <ns0:c r="D5" s="16" t="inlineStr">
        <ns0:is>
          <ns0:t>FY2025_20F PDF页171/F-4；178/F-11；111/108；https://ir.weride.ai/system/files-encrypted/nasdaq_kms/assets/2026/04/23/10-08-17/20-F.pdf</ns0:t>
        </ns0:is>
      </ns0:c>
      <ns0:c r="E5" s="16" t="inlineStr">
        <ns0:is>
          <ns0:t>审计披露</ns0:t>
        </ns0:is>
      </ns0:c>
    </ns0:row>
    <ns0:row r="6">
      <ns0:c r="A6" s="16" t="inlineStr">
        <ns0:is>
          <ns0:t>FY2025_收入</ns0:t>
        </ns0:is>
      </ns0:c>
      <ns0:c r="B6" s="41" t="n">
        <ns0:v>684587</ns0:v>
      </ns0:c>
      <ns0:c r="C6" s="16" t="inlineStr">
        <ns0:is>
          <ns0:t>人民币千元</ns0:t>
        </ns0:is>
      </ns0:c>
      <ns0:c r="D6" s="16" t="inlineStr">
        <ns0:is>
          <ns0:t>FY2025_20F PDF页171/F-4；178/F-11；111/108；https://ir.weride.ai/system/files-encrypted/nasdaq_kms/assets/2026/04/23/10-08-17/20-F.pdf</ns0:t>
        </ns0:is>
      </ns0:c>
      <ns0:c r="E6" s="16" t="inlineStr">
        <ns0:is>
          <ns0:t>审计披露</ns0:t>
        </ns0:is>
      </ns0:c>
    </ns0:row>
    <ns0:row r="7">
      <ns0:c r="A7" s="16" t="inlineStr">
        <ns0:is>
          <ns0:t>FY2021_产品</ns0:t>
        </ns0:is>
      </ns0:c>
      <ns0:c r="B7" s="41" t="n">
        <ns0:v>101597</ns0:v>
      </ns0:c>
      <ns0:c r="C7" s="16" t="inlineStr">
        <ns0:is>
          <ns0:t>人民币千元</ns0:t>
        </ns0:is>
      </ns0:c>
      <ns0:c r="D7" s="16" t="inlineStr">
        <ns0:is>
          <ns0:t>2024_US_424B4 PDF页279/F-3；286–287/F-10–11；https://ir.weride.ai/static-files/406cbf25-bb49-4020-b913-f9cca1283c6e</ns0:t>
        </ns0:is>
      </ns0:c>
      <ns0:c r="E7" s="16" t="inlineStr">
        <ns0:is>
          <ns0:t>审计披露</ns0:t>
        </ns0:is>
      </ns0:c>
    </ns0:row>
    <ns0:row r="8">
      <ns0:c r="A8" s="16" t="inlineStr">
        <ns0:is>
          <ns0:t>FY2022_产品</ns0:t>
        </ns0:is>
      </ns0:c>
      <ns0:c r="B8" s="41" t="n">
        <ns0:v>337717</ns0:v>
      </ns0:c>
      <ns0:c r="C8" s="16" t="inlineStr">
        <ns0:is>
          <ns0:t>人民币千元</ns0:t>
        </ns0:is>
      </ns0:c>
      <ns0:c r="D8" s="16" t="inlineStr">
        <ns0:is>
          <ns0:t>FY2024_20F PDF页169/F-3；176–177/F-10–11；https://ir.weride.ai/static-files/72a895d1-7999-4f63-9d97-476c54e7ecab</ns0:t>
        </ns0:is>
      </ns0:c>
      <ns0:c r="E8" s="16" t="inlineStr">
        <ns0:is>
          <ns0:t>审计披露</ns0:t>
        </ns0:is>
      </ns0:c>
    </ns0:row>
    <ns0:row r="9">
      <ns0:c r="A9" s="16" t="inlineStr">
        <ns0:is>
          <ns0:t>FY2023_产品</ns0:t>
        </ns0:is>
      </ns0:c>
      <ns0:c r="B9" s="41" t="n">
        <ns0:v>54190</ns0:v>
      </ns0:c>
      <ns0:c r="C9" s="16" t="inlineStr">
        <ns0:is>
          <ns0:t>人民币千元</ns0:t>
        </ns0:is>
      </ns0:c>
      <ns0:c r="D9" s="16" t="inlineStr">
        <ns0:is>
          <ns0:t>FY2025_20F PDF页171/F-4；178/F-11；111/108；https://ir.weride.ai/system/files-encrypted/nasdaq_kms/assets/2026/04/23/10-08-17/20-F.pdf</ns0:t>
        </ns0:is>
      </ns0:c>
      <ns0:c r="E9" s="16" t="inlineStr">
        <ns0:is>
          <ns0:t>审计披露</ns0:t>
        </ns0:is>
      </ns0:c>
    </ns0:row>
    <ns0:row r="10">
      <ns0:c r="A10" s="16" t="inlineStr">
        <ns0:is>
          <ns0:t>FY2024_产品</ns0:t>
        </ns0:is>
      </ns0:c>
      <ns0:c r="B10" s="41" t="n">
        <ns0:v>87710</ns0:v>
      </ns0:c>
      <ns0:c r="C10" s="16" t="inlineStr">
        <ns0:is>
          <ns0:t>人民币千元</ns0:t>
        </ns0:is>
      </ns0:c>
      <ns0:c r="D10" s="16" t="inlineStr">
        <ns0:is>
          <ns0:t>FY2025_20F PDF页171/F-4；178/F-11；111/108；https://ir.weride.ai/system/files-encrypted/nasdaq_kms/assets/2026/04/23/10-08-17/20-F.pdf</ns0:t>
        </ns0:is>
      </ns0:c>
      <ns0:c r="E10" s="16" t="inlineStr">
        <ns0:is>
          <ns0:t>审计披露</ns0:t>
        </ns0:is>
      </ns0:c>
    </ns0:row>
    <ns0:row r="11">
      <ns0:c r="A11" s="16" t="inlineStr">
        <ns0:is>
          <ns0:t>FY2025_产品</ns0:t>
        </ns0:is>
      </ns0:c>
      <ns0:c r="B11" s="41" t="n">
        <ns0:v>359843</ns0:v>
      </ns0:c>
      <ns0:c r="C11" s="16" t="inlineStr">
        <ns0:is>
          <ns0:t>人民币千元</ns0:t>
        </ns0:is>
      </ns0:c>
      <ns0:c r="D11" s="16" t="inlineStr">
        <ns0:is>
          <ns0:t>FY2025_20F PDF页171/F-4；178/F-11；111/108；https://ir.weride.ai/system/files-encrypted/nasdaq_kms/assets/2026/04/23/10-08-17/20-F.pdf</ns0:t>
        </ns0:is>
      </ns0:c>
      <ns0:c r="E11" s="16" t="inlineStr">
        <ns0:is>
          <ns0:t>审计披露</ns0:t>
        </ns0:is>
      </ns0:c>
    </ns0:row>
    <ns0:row r="12">
      <ns0:c r="A12" s="16" t="inlineStr">
        <ns0:is>
          <ns0:t>FY2021_服务</ns0:t>
        </ns0:is>
      </ns0:c>
      <ns0:c r="B12" s="41" t="n">
        <ns0:v>36575</ns0:v>
      </ns0:c>
      <ns0:c r="C12" s="16" t="inlineStr">
        <ns0:is>
          <ns0:t>人民币千元</ns0:t>
        </ns0:is>
      </ns0:c>
      <ns0:c r="D12" s="16" t="inlineStr">
        <ns0:is>
          <ns0:t>2024_US_424B4 PDF页279/F-3；286–287/F-10–11；https://ir.weride.ai/static-files/406cbf25-bb49-4020-b913-f9cca1283c6e</ns0:t>
        </ns0:is>
      </ns0:c>
      <ns0:c r="E12" s="16" t="inlineStr">
        <ns0:is>
          <ns0:t>审计披露</ns0:t>
        </ns0:is>
      </ns0:c>
    </ns0:row>
    <ns0:row r="13">
      <ns0:c r="A13" s="16" t="inlineStr">
        <ns0:is>
          <ns0:t>FY2022_服务</ns0:t>
        </ns0:is>
      </ns0:c>
      <ns0:c r="B13" s="41" t="n">
        <ns0:v>189826</ns0:v>
      </ns0:c>
      <ns0:c r="C13" s="16" t="inlineStr">
        <ns0:is>
          <ns0:t>人民币千元</ns0:t>
        </ns0:is>
      </ns0:c>
      <ns0:c r="D13" s="16" t="inlineStr">
        <ns0:is>
          <ns0:t>FY2024_20F PDF页169/F-3；176–177/F-10–11；https://ir.weride.ai/static-files/72a895d1-7999-4f63-9d97-476c54e7ecab</ns0:t>
        </ns0:is>
      </ns0:c>
      <ns0:c r="E13" s="16" t="inlineStr">
        <ns0:is>
          <ns0:t>审计披露</ns0:t>
        </ns0:is>
      </ns0:c>
    </ns0:row>
    <ns0:row r="14">
      <ns0:c r="A14" s="16" t="inlineStr">
        <ns0:is>
          <ns0:t>FY2023_服务</ns0:t>
        </ns0:is>
      </ns0:c>
      <ns0:c r="B14" s="41" t="n">
        <ns0:v>347654</ns0:v>
      </ns0:c>
      <ns0:c r="C14" s="16" t="inlineStr">
        <ns0:is>
          <ns0:t>人民币千元</ns0:t>
        </ns0:is>
      </ns0:c>
      <ns0:c r="D14" s="16" t="inlineStr">
        <ns0:is>
          <ns0:t>FY2025_20F PDF页171/F-4；178/F-11；111/108；https://ir.weride.ai/system/files-encrypted/nasdaq_kms/assets/2026/04/23/10-08-17/20-F.pdf</ns0:t>
        </ns0:is>
      </ns0:c>
      <ns0:c r="E14" s="16" t="inlineStr">
        <ns0:is>
          <ns0:t>审计披露</ns0:t>
        </ns0:is>
      </ns0:c>
    </ns0:row>
    <ns0:row r="15">
      <ns0:c r="A15" s="16" t="inlineStr">
        <ns0:is>
          <ns0:t>FY2024_服务</ns0:t>
        </ns0:is>
      </ns0:c>
      <ns0:c r="B15" s="41" t="n">
        <ns0:v>273424</ns0:v>
      </ns0:c>
      <ns0:c r="C15" s="16" t="inlineStr">
        <ns0:is>
          <ns0:t>人民币千元</ns0:t>
        </ns0:is>
      </ns0:c>
      <ns0:c r="D15" s="16" t="inlineStr">
        <ns0:is>
          <ns0:t>FY2025_20F PDF页171/F-4；178/F-11；111/108；https://ir.weride.ai/system/files-encrypted/nasdaq_kms/assets/2026/04/23/10-08-17/20-F.pdf</ns0:t>
        </ns0:is>
      </ns0:c>
      <ns0:c r="E15" s="16" t="inlineStr">
        <ns0:is>
          <ns0:t>审计披露</ns0:t>
        </ns0:is>
      </ns0:c>
    </ns0:row>
    <ns0:row r="16">
      <ns0:c r="A16" s="16" t="inlineStr">
        <ns0:is>
          <ns0:t>FY2025_服务</ns0:t>
        </ns0:is>
      </ns0:c>
      <ns0:c r="B16" s="41" t="n">
        <ns0:v>324744</ns0:v>
      </ns0:c>
      <ns0:c r="C16" s="16" t="inlineStr">
        <ns0:is>
          <ns0:t>人民币千元</ns0:t>
        </ns0:is>
      </ns0:c>
      <ns0:c r="D16" s="16" t="inlineStr">
        <ns0:is>
          <ns0:t>FY2025_20F PDF页171/F-4；178/F-11；111/108；https://ir.weride.ai/system/files-encrypted/nasdaq_kms/assets/2026/04/23/10-08-17/20-F.pdf</ns0:t>
        </ns0:is>
      </ns0:c>
      <ns0:c r="E16" s="16" t="inlineStr">
        <ns0:is>
          <ns0:t>审计披露</ns0:t>
        </ns0:is>
      </ns0:c>
    </ns0:row>
    <ns0:row r="17">
      <ns0:c r="A17" s="16" t="inlineStr">
        <ns0:is>
          <ns0:t>FY2021_毛利</ns0:t>
        </ns0:is>
      </ns0:c>
      <ns0:c r="B17" s="41" t="n">
        <ns0:v>51660</ns0:v>
      </ns0:c>
      <ns0:c r="C17" s="16" t="inlineStr">
        <ns0:is>
          <ns0:t>人民币千元</ns0:t>
        </ns0:is>
      </ns0:c>
      <ns0:c r="D17" s="16" t="inlineStr">
        <ns0:is>
          <ns0:t>2024_US_424B4 PDF页279/F-3；286–287/F-10–11；https://ir.weride.ai/static-files/406cbf25-bb49-4020-b913-f9cca1283c6e</ns0:t>
        </ns0:is>
      </ns0:c>
      <ns0:c r="E17" s="16" t="inlineStr">
        <ns0:is>
          <ns0:t>审计披露</ns0:t>
        </ns0:is>
      </ns0:c>
    </ns0:row>
    <ns0:row r="18">
      <ns0:c r="A18" s="16" t="inlineStr">
        <ns0:is>
          <ns0:t>FY2022_毛利</ns0:t>
        </ns0:is>
      </ns0:c>
      <ns0:c r="B18" s="41" t="n">
        <ns0:v>232545</ns0:v>
      </ns0:c>
      <ns0:c r="C18" s="16" t="inlineStr">
        <ns0:is>
          <ns0:t>人民币千元</ns0:t>
        </ns0:is>
      </ns0:c>
      <ns0:c r="D18" s="16" t="inlineStr">
        <ns0:is>
          <ns0:t>FY2024_20F PDF页169/F-3；176–177/F-10–11；https://ir.weride.ai/static-files/72a895d1-7999-4f63-9d97-476c54e7ecab</ns0:t>
        </ns0:is>
      </ns0:c>
      <ns0:c r="E18" s="16" t="inlineStr">
        <ns0:is>
          <ns0:t>审计披露</ns0:t>
        </ns0:is>
      </ns0:c>
    </ns0:row>
    <ns0:row r="19">
      <ns0:c r="A19" s="16" t="inlineStr">
        <ns0:is>
          <ns0:t>FY2023_毛利</ns0:t>
        </ns0:is>
      </ns0:c>
      <ns0:c r="B19" s="41" t="n">
        <ns0:v>183476</ns0:v>
      </ns0:c>
      <ns0:c r="C19" s="16" t="inlineStr">
        <ns0:is>
          <ns0:t>人民币千元</ns0:t>
        </ns0:is>
      </ns0:c>
      <ns0:c r="D19" s="16" t="inlineStr">
        <ns0:is>
          <ns0:t>FY2025_20F PDF页171/F-4；178/F-11；111/108；https://ir.weride.ai/system/files-encrypted/nasdaq_kms/assets/2026/04/23/10-08-17/20-F.pdf</ns0:t>
        </ns0:is>
      </ns0:c>
      <ns0:c r="E19" s="16" t="inlineStr">
        <ns0:is>
          <ns0:t>审计披露</ns0:t>
        </ns0:is>
      </ns0:c>
    </ns0:row>
    <ns0:row r="20">
      <ns0:c r="A20" s="16" t="inlineStr">
        <ns0:is>
          <ns0:t>FY2024_毛利</ns0:t>
        </ns0:is>
      </ns0:c>
      <ns0:c r="B20" s="41" t="n">
        <ns0:v>110715</ns0:v>
      </ns0:c>
      <ns0:c r="C20" s="16" t="inlineStr">
        <ns0:is>
          <ns0:t>人民币千元</ns0:t>
        </ns0:is>
      </ns0:c>
      <ns0:c r="D20" s="16" t="inlineStr">
        <ns0:is>
          <ns0:t>FY2025_20F PDF页171/F-4；178/F-11；111/108；https://ir.weride.ai/system/files-encrypted/nasdaq_kms/assets/2026/04/23/10-08-17/20-F.pdf</ns0:t>
        </ns0:is>
      </ns0:c>
      <ns0:c r="E20" s="16" t="inlineStr">
        <ns0:is>
          <ns0:t>审计披露</ns0:t>
        </ns0:is>
      </ns0:c>
    </ns0:row>
    <ns0:row r="21">
      <ns0:c r="A21" s="16" t="inlineStr">
        <ns0:is>
          <ns0:t>FY2025_毛利</ns0:t>
        </ns0:is>
      </ns0:c>
      <ns0:c r="B21" s="41" t="n">
        <ns0:v>206822</ns0:v>
      </ns0:c>
      <ns0:c r="C21" s="16" t="inlineStr">
        <ns0:is>
          <ns0:t>人民币千元</ns0:t>
        </ns0:is>
      </ns0:c>
      <ns0:c r="D21" s="16" t="inlineStr">
        <ns0:is>
          <ns0:t>FY2025_20F PDF页171/F-4；178/F-11；111/108；https://ir.weride.ai/system/files-encrypted/nasdaq_kms/assets/2026/04/23/10-08-17/20-F.pdf</ns0:t>
        </ns0:is>
      </ns0:c>
      <ns0:c r="E21" s="16" t="inlineStr">
        <ns0:is>
          <ns0:t>审计披露</ns0:t>
        </ns0:is>
      </ns0:c>
    </ns0:row>
    <ns0:row r="22">
      <ns0:c r="A22" s="16" t="inlineStr">
        <ns0:is>
          <ns0:t>FY2021_研发</ns0:t>
        </ns0:is>
      </ns0:c>
      <ns0:c r="B22" s="41" t="n">
        <ns0:v>-443178</ns0:v>
      </ns0:c>
      <ns0:c r="C22" s="16" t="inlineStr">
        <ns0:is>
          <ns0:t>人民币千元</ns0:t>
        </ns0:is>
      </ns0:c>
      <ns0:c r="D22" s="16" t="inlineStr">
        <ns0:is>
          <ns0:t>2024_US_424B4 PDF页279/F-3；286–287/F-10–11；https://ir.weride.ai/static-files/406cbf25-bb49-4020-b913-f9cca1283c6e</ns0:t>
        </ns0:is>
      </ns0:c>
      <ns0:c r="E22" s="16" t="inlineStr">
        <ns0:is>
          <ns0:t>审计披露</ns0:t>
        </ns0:is>
      </ns0:c>
    </ns0:row>
    <ns0:row r="23">
      <ns0:c r="A23" s="16" t="inlineStr">
        <ns0:is>
          <ns0:t>FY2022_研发</ns0:t>
        </ns0:is>
      </ns0:c>
      <ns0:c r="B23" s="41" t="n">
        <ns0:v>-758565</ns0:v>
      </ns0:c>
      <ns0:c r="C23" s="16" t="inlineStr">
        <ns0:is>
          <ns0:t>人民币千元</ns0:t>
        </ns0:is>
      </ns0:c>
      <ns0:c r="D23" s="16" t="inlineStr">
        <ns0:is>
          <ns0:t>FY2024_20F PDF页169/F-3；176–177/F-10–11；https://ir.weride.ai/static-files/72a895d1-7999-4f63-9d97-476c54e7ecab</ns0:t>
        </ns0:is>
      </ns0:c>
      <ns0:c r="E23" s="16" t="inlineStr">
        <ns0:is>
          <ns0:t>审计披露</ns0:t>
        </ns0:is>
      </ns0:c>
    </ns0:row>
    <ns0:row r="24">
      <ns0:c r="A24" s="16" t="inlineStr">
        <ns0:is>
          <ns0:t>FY2023_研发</ns0:t>
        </ns0:is>
      </ns0:c>
      <ns0:c r="B24" s="41" t="n">
        <ns0:v>-1058395</ns0:v>
      </ns0:c>
      <ns0:c r="C24" s="16" t="inlineStr">
        <ns0:is>
          <ns0:t>人民币千元</ns0:t>
        </ns0:is>
      </ns0:c>
      <ns0:c r="D24" s="16" t="inlineStr">
        <ns0:is>
          <ns0:t>FY2025_20F PDF页171/F-4；178/F-11；111/108；https://ir.weride.ai/system/files-encrypted/nasdaq_kms/assets/2026/04/23/10-08-17/20-F.pdf</ns0:t>
        </ns0:is>
      </ns0:c>
      <ns0:c r="E24" s="16" t="inlineStr">
        <ns0:is>
          <ns0:t>审计披露</ns0:t>
        </ns0:is>
      </ns0:c>
    </ns0:row>
    <ns0:row r="25">
      <ns0:c r="A25" s="16" t="inlineStr">
        <ns0:is>
          <ns0:t>FY2024_研发</ns0:t>
        </ns0:is>
      </ns0:c>
      <ns0:c r="B25" s="41" t="n">
        <ns0:v>-1091357</ns0:v>
      </ns0:c>
      <ns0:c r="C25" s="16" t="inlineStr">
        <ns0:is>
          <ns0:t>人民币千元</ns0:t>
        </ns0:is>
      </ns0:c>
      <ns0:c r="D25" s="16" t="inlineStr">
        <ns0:is>
          <ns0:t>FY2025_20F PDF页171/F-4；178/F-11；111/108；https://ir.weride.ai/system/files-encrypted/nasdaq_kms/assets/2026/04/23/10-08-17/20-F.pdf</ns0:t>
        </ns0:is>
      </ns0:c>
      <ns0:c r="E25" s="16" t="inlineStr">
        <ns0:is>
          <ns0:t>审计披露</ns0:t>
        </ns0:is>
      </ns0:c>
    </ns0:row>
    <ns0:row r="26">
      <ns0:c r="A26" s="16" t="inlineStr">
        <ns0:is>
          <ns0:t>FY2025_研发</ns0:t>
        </ns0:is>
      </ns0:c>
      <ns0:c r="B26" s="41" t="n">
        <ns0:v>-1372191</ns0:v>
      </ns0:c>
      <ns0:c r="C26" s="16" t="inlineStr">
        <ns0:is>
          <ns0:t>人民币千元</ns0:t>
        </ns0:is>
      </ns0:c>
      <ns0:c r="D26" s="16" t="inlineStr">
        <ns0:is>
          <ns0:t>FY2025_20F PDF页171/F-4；178/F-11；111/108；https://ir.weride.ai/system/files-encrypted/nasdaq_kms/assets/2026/04/23/10-08-17/20-F.pdf</ns0:t>
        </ns0:is>
      </ns0:c>
      <ns0:c r="E26" s="16" t="inlineStr">
        <ns0:is>
          <ns0:t>审计披露</ns0:t>
        </ns0:is>
      </ns0:c>
    </ns0:row>
    <ns0:row r="27">
      <ns0:c r="A27" s="16" t="inlineStr">
        <ns0:is>
          <ns0:t>FY2021_行政</ns0:t>
        </ns0:is>
      </ns0:c>
      <ns0:c r="B27" s="41" t="n">
        <ns0:v>-107119</ns0:v>
      </ns0:c>
      <ns0:c r="C27" s="16" t="inlineStr">
        <ns0:is>
          <ns0:t>人民币千元</ns0:t>
        </ns0:is>
      </ns0:c>
      <ns0:c r="D27" s="16" t="inlineStr">
        <ns0:is>
          <ns0:t>2024_US_424B4 PDF页279/F-3；286–287/F-10–11；https://ir.weride.ai/static-files/406cbf25-bb49-4020-b913-f9cca1283c6e</ns0:t>
        </ns0:is>
      </ns0:c>
      <ns0:c r="E27" s="16" t="inlineStr">
        <ns0:is>
          <ns0:t>审计披露</ns0:t>
        </ns0:is>
      </ns0:c>
    </ns0:row>
    <ns0:row r="28">
      <ns0:c r="A28" s="16" t="inlineStr">
        <ns0:is>
          <ns0:t>FY2022_行政</ns0:t>
        </ns0:is>
      </ns0:c>
      <ns0:c r="B28" s="41" t="n">
        <ns0:v>-237236</ns0:v>
      </ns0:c>
      <ns0:c r="C28" s="16" t="inlineStr">
        <ns0:is>
          <ns0:t>人民币千元</ns0:t>
        </ns0:is>
      </ns0:c>
      <ns0:c r="D28" s="16" t="inlineStr">
        <ns0:is>
          <ns0:t>FY2024_20F PDF页169/F-3；176–177/F-10–11；https://ir.weride.ai/static-files/72a895d1-7999-4f63-9d97-476c54e7ecab</ns0:t>
        </ns0:is>
      </ns0:c>
      <ns0:c r="E28" s="16" t="inlineStr">
        <ns0:is>
          <ns0:t>审计披露</ns0:t>
        </ns0:is>
      </ns0:c>
    </ns0:row>
    <ns0:row r="29">
      <ns0:c r="A29" s="16" t="inlineStr">
        <ns0:is>
          <ns0:t>FY2023_行政</ns0:t>
        </ns0:is>
      </ns0:c>
      <ns0:c r="B29" s="41" t="n">
        <ns0:v>-625369</ns0:v>
      </ns0:c>
      <ns0:c r="C29" s="16" t="inlineStr">
        <ns0:is>
          <ns0:t>人民币千元</ns0:t>
        </ns0:is>
      </ns0:c>
      <ns0:c r="D29" s="16" t="inlineStr">
        <ns0:is>
          <ns0:t>FY2025_20F PDF页171/F-4；178/F-11；111/108；https://ir.weride.ai/system/files-encrypted/nasdaq_kms/assets/2026/04/23/10-08-17/20-F.pdf</ns0:t>
        </ns0:is>
      </ns0:c>
      <ns0:c r="E29" s="16" t="inlineStr">
        <ns0:is>
          <ns0:t>审计披露</ns0:t>
        </ns0:is>
      </ns0:c>
    </ns0:row>
    <ns0:row r="30">
      <ns0:c r="A30" s="16" t="inlineStr">
        <ns0:is>
          <ns0:t>FY2024_行政</ns0:t>
        </ns0:is>
      </ns0:c>
      <ns0:c r="B30" s="41" t="n">
        <ns0:v>-1138802</ns0:v>
      </ns0:c>
      <ns0:c r="C30" s="16" t="inlineStr">
        <ns0:is>
          <ns0:t>人民币千元</ns0:t>
        </ns0:is>
      </ns0:c>
      <ns0:c r="D30" s="16" t="inlineStr">
        <ns0:is>
          <ns0:t>FY2025_20F PDF页171/F-4；178/F-11；111/108；https://ir.weride.ai/system/files-encrypted/nasdaq_kms/assets/2026/04/23/10-08-17/20-F.pdf</ns0:t>
        </ns0:is>
      </ns0:c>
      <ns0:c r="E30" s="16" t="inlineStr">
        <ns0:is>
          <ns0:t>审计披露</ns0:t>
        </ns0:is>
      </ns0:c>
    </ns0:row>
    <ns0:row r="31">
      <ns0:c r="A31" s="16" t="inlineStr">
        <ns0:is>
          <ns0:t>FY2025_行政</ns0:t>
        </ns0:is>
      </ns0:c>
      <ns0:c r="B31" s="41" t="n">
        <ns0:v>-596060</ns0:v>
      </ns0:c>
      <ns0:c r="C31" s="16" t="inlineStr">
        <ns0:is>
          <ns0:t>人民币千元</ns0:t>
        </ns0:is>
      </ns0:c>
      <ns0:c r="D31" s="16" t="inlineStr">
        <ns0:is>
          <ns0:t>FY2025_20F PDF页171/F-4；178/F-11；111/108；https://ir.weride.ai/system/files-encrypted/nasdaq_kms/assets/2026/04/23/10-08-17/20-F.pdf</ns0:t>
        </ns0:is>
      </ns0:c>
      <ns0:c r="E31" s="16" t="inlineStr">
        <ns0:is>
          <ns0:t>审计披露</ns0:t>
        </ns0:is>
      </ns0:c>
    </ns0:row>
    <ns0:row r="32">
      <ns0:c r="A32" s="16" t="inlineStr">
        <ns0:is>
          <ns0:t>FY2021_销售</ns0:t>
        </ns0:is>
      </ns0:c>
      <ns0:c r="B32" s="41" t="n">
        <ns0:v>-12225</ns0:v>
      </ns0:c>
      <ns0:c r="C32" s="16" t="inlineStr">
        <ns0:is>
          <ns0:t>人民币千元</ns0:t>
        </ns0:is>
      </ns0:c>
      <ns0:c r="D32" s="16" t="inlineStr">
        <ns0:is>
          <ns0:t>2024_US_424B4 PDF页279/F-3；286–287/F-10–11；https://ir.weride.ai/static-files/406cbf25-bb49-4020-b913-f9cca1283c6e</ns0:t>
        </ns0:is>
      </ns0:c>
      <ns0:c r="E32" s="16" t="inlineStr">
        <ns0:is>
          <ns0:t>审计披露</ns0:t>
        </ns0:is>
      </ns0:c>
    </ns0:row>
    <ns0:row r="33">
      <ns0:c r="A33" s="16" t="inlineStr">
        <ns0:is>
          <ns0:t>FY2022_销售</ns0:t>
        </ns0:is>
      </ns0:c>
      <ns0:c r="B33" s="41" t="n">
        <ns0:v>-23574</ns0:v>
      </ns0:c>
      <ns0:c r="C33" s="16" t="inlineStr">
        <ns0:is>
          <ns0:t>人民币千元</ns0:t>
        </ns0:is>
      </ns0:c>
      <ns0:c r="D33" s="16" t="inlineStr">
        <ns0:is>
          <ns0:t>FY2024_20F PDF页169/F-3；176–177/F-10–11；https://ir.weride.ai/static-files/72a895d1-7999-4f63-9d97-476c54e7ecab</ns0:t>
        </ns0:is>
      </ns0:c>
      <ns0:c r="E33" s="16" t="inlineStr">
        <ns0:is>
          <ns0:t>审计披露</ns0:t>
        </ns0:is>
      </ns0:c>
    </ns0:row>
    <ns0:row r="34">
      <ns0:c r="A34" s="16" t="inlineStr">
        <ns0:is>
          <ns0:t>FY2023_销售</ns0:t>
        </ns0:is>
      </ns0:c>
      <ns0:c r="B34" s="41" t="n">
        <ns0:v>-41447</ns0:v>
      </ns0:c>
      <ns0:c r="C34" s="16" t="inlineStr">
        <ns0:is>
          <ns0:t>人民币千元</ns0:t>
        </ns0:is>
      </ns0:c>
      <ns0:c r="D34" s="16" t="inlineStr">
        <ns0:is>
          <ns0:t>FY2025_20F PDF页171/F-4；178/F-11；111/108；https://ir.weride.ai/system/files-encrypted/nasdaq_kms/assets/2026/04/23/10-08-17/20-F.pdf</ns0:t>
        </ns0:is>
      </ns0:c>
      <ns0:c r="E34" s="16" t="inlineStr">
        <ns0:is>
          <ns0:t>审计披露</ns0:t>
        </ns0:is>
      </ns0:c>
    </ns0:row>
    <ns0:row r="35">
      <ns0:c r="A35" s="16" t="inlineStr">
        <ns0:is>
          <ns0:t>FY2024_销售</ns0:t>
        </ns0:is>
      </ns0:c>
      <ns0:c r="B35" s="41" t="n">
        <ns0:v>-53566</ns0:v>
      </ns0:c>
      <ns0:c r="C35" s="16" t="inlineStr">
        <ns0:is>
          <ns0:t>人民币千元</ns0:t>
        </ns0:is>
      </ns0:c>
      <ns0:c r="D35" s="16" t="inlineStr">
        <ns0:is>
          <ns0:t>FY2025_20F PDF页171/F-4；178/F-11；111/108；https://ir.weride.ai/system/files-encrypted/nasdaq_kms/assets/2026/04/23/10-08-17/20-F.pdf</ns0:t>
        </ns0:is>
      </ns0:c>
      <ns0:c r="E35" s="16" t="inlineStr">
        <ns0:is>
          <ns0:t>审计披露</ns0:t>
        </ns0:is>
      </ns0:c>
    </ns0:row>
    <ns0:row r="36">
      <ns0:c r="A36" s="16" t="inlineStr">
        <ns0:is>
          <ns0:t>FY2025_销售</ns0:t>
        </ns0:is>
      </ns0:c>
      <ns0:c r="B36" s="41" t="n">
        <ns0:v>-73628</ns0:v>
      </ns0:c>
      <ns0:c r="C36" s="16" t="inlineStr">
        <ns0:is>
          <ns0:t>人民币千元</ns0:t>
        </ns0:is>
      </ns0:c>
      <ns0:c r="D36" s="16" t="inlineStr">
        <ns0:is>
          <ns0:t>FY2025_20F PDF页171/F-4；178/F-11；111/108；https://ir.weride.ai/system/files-encrypted/nasdaq_kms/assets/2026/04/23/10-08-17/20-F.pdf</ns0:t>
        </ns0:is>
      </ns0:c>
      <ns0:c r="E36" s="16" t="inlineStr">
        <ns0:is>
          <ns0:t>审计披露</ns0:t>
        </ns0:is>
      </ns0:c>
    </ns0:row>
    <ns0:row r="37">
      <ns0:c r="A37" s="16" t="inlineStr">
        <ns0:is>
          <ns0:t>FY2021_经营亏损</ns0:t>
        </ns0:is>
      </ns0:c>
      <ns0:c r="B37" s="41" t="n">
        <ns0:v>-500496</ns0:v>
      </ns0:c>
      <ns0:c r="C37" s="16" t="inlineStr">
        <ns0:is>
          <ns0:t>人民币千元</ns0:t>
        </ns0:is>
      </ns0:c>
      <ns0:c r="D37" s="16" t="inlineStr">
        <ns0:is>
          <ns0:t>2024_US_424B4 PDF页279/F-3；286–287/F-10–11；https://ir.weride.ai/static-files/406cbf25-bb49-4020-b913-f9cca1283c6e</ns0:t>
        </ns0:is>
      </ns0:c>
      <ns0:c r="E37" s="16" t="inlineStr">
        <ns0:is>
          <ns0:t>审计披露</ns0:t>
        </ns0:is>
      </ns0:c>
    </ns0:row>
    <ns0:row r="38">
      <ns0:c r="A38" s="16" t="inlineStr">
        <ns0:is>
          <ns0:t>FY2022_经营亏损</ns0:t>
        </ns0:is>
      </ns0:c>
      <ns0:c r="B38" s="41" t="n">
        <ns0:v>-779230</ns0:v>
      </ns0:c>
      <ns0:c r="C38" s="16" t="inlineStr">
        <ns0:is>
          <ns0:t>人民币千元</ns0:t>
        </ns0:is>
      </ns0:c>
      <ns0:c r="D38" s="16" t="inlineStr">
        <ns0:is>
          <ns0:t>FY2024_20F PDF页169/F-3；176–177/F-10–11；https://ir.weride.ai/static-files/72a895d1-7999-4f63-9d97-476c54e7ecab</ns0:t>
        </ns0:is>
      </ns0:c>
      <ns0:c r="E38" s="16" t="inlineStr">
        <ns0:is>
          <ns0:t>审计披露</ns0:t>
        </ns0:is>
      </ns0:c>
    </ns0:row>
    <ns0:row r="39">
      <ns0:c r="A39" s="16" t="inlineStr">
        <ns0:is>
          <ns0:t>FY2023_经营亏损</ns0:t>
        </ns0:is>
      </ns0:c>
      <ns0:c r="B39" s="41" t="n">
        <ns0:v>-1566202</ns0:v>
      </ns0:c>
      <ns0:c r="C39" s="16" t="inlineStr">
        <ns0:is>
          <ns0:t>人民币千元</ns0:t>
        </ns0:is>
      </ns0:c>
      <ns0:c r="D39" s="16" t="inlineStr">
        <ns0:is>
          <ns0:t>FY2025_20F PDF页171/F-4；178/F-11；111/108；https://ir.weride.ai/system/files-encrypted/nasdaq_kms/assets/2026/04/23/10-08-17/20-F.pdf</ns0:t>
        </ns0:is>
      </ns0:c>
      <ns0:c r="E39" s="16" t="inlineStr">
        <ns0:is>
          <ns0:t>审计披露</ns0:t>
        </ns0:is>
      </ns0:c>
    </ns0:row>
    <ns0:row r="40">
      <ns0:c r="A40" s="16" t="inlineStr">
        <ns0:is>
          <ns0:t>FY2024_经营亏损</ns0:t>
        </ns0:is>
      </ns0:c>
      <ns0:c r="B40" s="41" t="n">
        <ns0:v>-2185183</ns0:v>
      </ns0:c>
      <ns0:c r="C40" s="16" t="inlineStr">
        <ns0:is>
          <ns0:t>人民币千元</ns0:t>
        </ns0:is>
      </ns0:c>
      <ns0:c r="D40" s="16" t="inlineStr">
        <ns0:is>
          <ns0:t>FY2025_20F PDF页171/F-4；178/F-11；111/108；https://ir.weride.ai/system/files-encrypted/nasdaq_kms/assets/2026/04/23/10-08-17/20-F.pdf</ns0:t>
        </ns0:is>
      </ns0:c>
      <ns0:c r="E40" s="16" t="inlineStr">
        <ns0:is>
          <ns0:t>审计披露</ns0:t>
        </ns0:is>
      </ns0:c>
    </ns0:row>
    <ns0:row r="41">
      <ns0:c r="A41" s="16" t="inlineStr">
        <ns0:is>
          <ns0:t>FY2025_经营亏损</ns0:t>
        </ns0:is>
      </ns0:c>
      <ns0:c r="B41" s="41" t="n">
        <ns0:v>-1846770</ns0:v>
      </ns0:c>
      <ns0:c r="C41" s="16" t="inlineStr">
        <ns0:is>
          <ns0:t>人民币千元</ns0:t>
        </ns0:is>
      </ns0:c>
      <ns0:c r="D41" s="16" t="inlineStr">
        <ns0:is>
          <ns0:t>FY2025_20F PDF页171/F-4；178/F-11；111/108；https://ir.weride.ai/system/files-encrypted/nasdaq_kms/assets/2026/04/23/10-08-17/20-F.pdf</ns0:t>
        </ns0:is>
      </ns0:c>
      <ns0:c r="E41" s="16" t="inlineStr">
        <ns0:is>
          <ns0:t>审计披露</ns0:t>
        </ns0:is>
      </ns0:c>
    </ns0:row>
    <ns0:row r="42">
      <ns0:c r="A42" s="16" t="inlineStr">
        <ns0:is>
          <ns0:t>FY2021_税前亏损</ns0:t>
        </ns0:is>
      </ns0:c>
      <ns0:c r="B42" s="41" t="n">
        <ns0:v>-1007251</ns0:v>
      </ns0:c>
      <ns0:c r="C42" s="16" t="inlineStr">
        <ns0:is>
          <ns0:t>人民币千元</ns0:t>
        </ns0:is>
      </ns0:c>
      <ns0:c r="D42" s="16" t="inlineStr">
        <ns0:is>
          <ns0:t>2024_US_424B4 PDF页279/F-3；286–287/F-10–11；https://ir.weride.ai/static-files/406cbf25-bb49-4020-b913-f9cca1283c6e</ns0:t>
        </ns0:is>
      </ns0:c>
      <ns0:c r="E42" s="16" t="inlineStr">
        <ns0:is>
          <ns0:t>审计披露</ns0:t>
        </ns0:is>
      </ns0:c>
    </ns0:row>
    <ns0:row r="43">
      <ns0:c r="A43" s="16" t="inlineStr">
        <ns0:is>
          <ns0:t>FY2022_税前亏损</ns0:t>
        </ns0:is>
      </ns0:c>
      <ns0:c r="B43" s="41" t="n">
        <ns0:v>-1298496</ns0:v>
      </ns0:c>
      <ns0:c r="C43" s="16" t="inlineStr">
        <ns0:is>
          <ns0:t>人民币千元</ns0:t>
        </ns0:is>
      </ns0:c>
      <ns0:c r="D43" s="16" t="inlineStr">
        <ns0:is>
          <ns0:t>FY2024_20F PDF页169/F-3；176–177/F-10–11；https://ir.weride.ai/static-files/72a895d1-7999-4f63-9d97-476c54e7ecab</ns0:t>
        </ns0:is>
      </ns0:c>
      <ns0:c r="E43" s="16" t="inlineStr">
        <ns0:is>
          <ns0:t>审计披露</ns0:t>
        </ns0:is>
      </ns0:c>
    </ns0:row>
    <ns0:row r="44">
      <ns0:c r="A44" s="16" t="inlineStr">
        <ns0:is>
          <ns0:t>FY2023_税前亏损</ns0:t>
        </ns0:is>
      </ns0:c>
      <ns0:c r="B44" s="41" t="n">
        <ns0:v>-1946235</ns0:v>
      </ns0:c>
      <ns0:c r="C44" s="16" t="inlineStr">
        <ns0:is>
          <ns0:t>人民币千元</ns0:t>
        </ns0:is>
      </ns0:c>
      <ns0:c r="D44" s="16" t="inlineStr">
        <ns0:is>
          <ns0:t>FY2025_20F PDF页171/F-4；178/F-11；111/108；https://ir.weride.ai/system/files-encrypted/nasdaq_kms/assets/2026/04/23/10-08-17/20-F.pdf</ns0:t>
        </ns0:is>
      </ns0:c>
      <ns0:c r="E44" s="16" t="inlineStr">
        <ns0:is>
          <ns0:t>审计披露</ns0:t>
        </ns0:is>
      </ns0:c>
    </ns0:row>
    <ns0:row r="45">
      <ns0:c r="A45" s="16" t="inlineStr">
        <ns0:is>
          <ns0:t>FY2024_税前亏损</ns0:t>
        </ns0:is>
      </ns0:c>
      <ns0:c r="B45" s="41" t="n">
        <ns0:v>-2510940</ns0:v>
      </ns0:c>
      <ns0:c r="C45" s="16" t="inlineStr">
        <ns0:is>
          <ns0:t>人民币千元</ns0:t>
        </ns0:is>
      </ns0:c>
      <ns0:c r="D45" s="16" t="inlineStr">
        <ns0:is>
          <ns0:t>FY2025_20F PDF页171/F-4；178/F-11；111/108；https://ir.weride.ai/system/files-encrypted/nasdaq_kms/assets/2026/04/23/10-08-17/20-F.pdf</ns0:t>
        </ns0:is>
      </ns0:c>
      <ns0:c r="E45" s="16" t="inlineStr">
        <ns0:is>
          <ns0:t>审计披露</ns0:t>
        </ns0:is>
      </ns0:c>
    </ns0:row>
    <ns0:row r="46">
      <ns0:c r="A46" s="16" t="inlineStr">
        <ns0:is>
          <ns0:t>FY2025_税前亏损</ns0:t>
        </ns0:is>
      </ns0:c>
      <ns0:c r="B46" s="41" t="n">
        <ns0:v>-1650800</ns0:v>
      </ns0:c>
      <ns0:c r="C46" s="16" t="inlineStr">
        <ns0:is>
          <ns0:t>人民币千元</ns0:t>
        </ns0:is>
      </ns0:c>
      <ns0:c r="D46" s="16" t="inlineStr">
        <ns0:is>
          <ns0:t>FY2025_20F PDF页171/F-4；178/F-11；111/108；https://ir.weride.ai/system/files-encrypted/nasdaq_kms/assets/2026/04/23/10-08-17/20-F.pdf</ns0:t>
        </ns0:is>
      </ns0:c>
      <ns0:c r="E46" s="16" t="inlineStr">
        <ns0:is>
          <ns0:t>审计披露</ns0:t>
        </ns0:is>
      </ns0:c>
    </ns0:row>
    <ns0:row r="47">
      <ns0:c r="A47" s="16" t="inlineStr">
        <ns0:is>
          <ns0:t>FY2021_归母净亏损</ns0:t>
        </ns0:is>
      </ns0:c>
      <ns0:c r="B47" s="41" t="n">
        <ns0:v>-1007251</ns0:v>
      </ns0:c>
      <ns0:c r="C47" s="16" t="inlineStr">
        <ns0:is>
          <ns0:t>人民币千元</ns0:t>
        </ns0:is>
      </ns0:c>
      <ns0:c r="D47" s="16" t="inlineStr">
        <ns0:is>
          <ns0:t>2024_US_424B4 PDF页279/F-3；286–287/F-10–11；https://ir.weride.ai/static-files/406cbf25-bb49-4020-b913-f9cca1283c6e</ns0:t>
        </ns0:is>
      </ns0:c>
      <ns0:c r="E47" s="16" t="inlineStr">
        <ns0:is>
          <ns0:t>审计披露</ns0:t>
        </ns0:is>
      </ns0:c>
    </ns0:row>
    <ns0:row r="48">
      <ns0:c r="A48" s="16" t="inlineStr">
        <ns0:is>
          <ns0:t>FY2022_归母净亏损</ns0:t>
        </ns0:is>
      </ns0:c>
      <ns0:c r="B48" s="41" t="n">
        <ns0:v>-1298496</ns0:v>
      </ns0:c>
      <ns0:c r="C48" s="16" t="inlineStr">
        <ns0:is>
          <ns0:t>人民币千元</ns0:t>
        </ns0:is>
      </ns0:c>
      <ns0:c r="D48" s="16" t="inlineStr">
        <ns0:is>
          <ns0:t>FY2024_20F PDF页169/F-3；176–177/F-10–11；https://ir.weride.ai/static-files/72a895d1-7999-4f63-9d97-476c54e7ecab</ns0:t>
        </ns0:is>
      </ns0:c>
      <ns0:c r="E48" s="16" t="inlineStr">
        <ns0:is>
          <ns0:t>审计披露</ns0:t>
        </ns0:is>
      </ns0:c>
    </ns0:row>
    <ns0:row r="49">
      <ns0:c r="A49" s="16" t="inlineStr">
        <ns0:is>
          <ns0:t>FY2023_归母净亏损</ns0:t>
        </ns0:is>
      </ns0:c>
      <ns0:c r="B49" s="41" t="n">
        <ns0:v>-1949101</ns0:v>
      </ns0:c>
      <ns0:c r="C49" s="16" t="inlineStr">
        <ns0:is>
          <ns0:t>人民币千元</ns0:t>
        </ns0:is>
      </ns0:c>
      <ns0:c r="D49" s="16" t="inlineStr">
        <ns0:is>
          <ns0:t>FY2025_20F PDF页171/F-4；178/F-11；111/108；https://ir.weride.ai/system/files-encrypted/nasdaq_kms/assets/2026/04/23/10-08-17/20-F.pdf</ns0:t>
        </ns0:is>
      </ns0:c>
      <ns0:c r="E49" s="16" t="inlineStr">
        <ns0:is>
          <ns0:t>审计披露</ns0:t>
        </ns0:is>
      </ns0:c>
    </ns0:row>
    <ns0:row r="50">
      <ns0:c r="A50" s="16" t="inlineStr">
        <ns0:is>
          <ns0:t>FY2024_归母净亏损</ns0:t>
        </ns0:is>
      </ns0:c>
      <ns0:c r="B50" s="41" t="n">
        <ns0:v>-2516808</ns0:v>
      </ns0:c>
      <ns0:c r="C50" s="16" t="inlineStr">
        <ns0:is>
          <ns0:t>人民币千元</ns0:t>
        </ns0:is>
      </ns0:c>
      <ns0:c r="D50" s="16" t="inlineStr">
        <ns0:is>
          <ns0:t>FY2025_20F PDF页171/F-4；178/F-11；111/108；https://ir.weride.ai/system/files-encrypted/nasdaq_kms/assets/2026/04/23/10-08-17/20-F.pdf</ns0:t>
        </ns0:is>
      </ns0:c>
      <ns0:c r="E50" s="16" t="inlineStr">
        <ns0:is>
          <ns0:t>审计披露</ns0:t>
        </ns0:is>
      </ns0:c>
    </ns0:row>
    <ns0:row r="51">
      <ns0:c r="A51" s="16" t="inlineStr">
        <ns0:is>
          <ns0:t>FY2025_归母净亏损</ns0:t>
        </ns0:is>
      </ns0:c>
      <ns0:c r="B51" s="41" t="n">
        <ns0:v>-1654900</ns0:v>
      </ns0:c>
      <ns0:c r="C51" s="16" t="inlineStr">
        <ns0:is>
          <ns0:t>人民币千元</ns0:t>
        </ns0:is>
      </ns0:c>
      <ns0:c r="D51" s="16" t="inlineStr">
        <ns0:is>
          <ns0:t>FY2025_20F PDF页171/F-4；178/F-11；111/108；https://ir.weride.ai/system/files-encrypted/nasdaq_kms/assets/2026/04/23/10-08-17/20-F.pdf</ns0:t>
        </ns0:is>
      </ns0:c>
      <ns0:c r="E51" s="16" t="inlineStr">
        <ns0:is>
          <ns0:t>审计披露</ns0:t>
        </ns0:is>
      </ns0:c>
    </ns0:row>
    <ns0:row r="52">
      <ns0:c r="A52" s="16" t="inlineStr">
        <ns0:is>
          <ns0:t>FY2021_股权支付</ns0:t>
        </ns0:is>
      </ns0:c>
      <ns0:c r="B52" s="41" t="n">
        <ns0:v>55959</ns0:v>
      </ns0:c>
      <ns0:c r="C52" s="16" t="inlineStr">
        <ns0:is>
          <ns0:t>人民币千元</ns0:t>
        </ns0:is>
      </ns0:c>
      <ns0:c r="D52" s="16" t="inlineStr">
        <ns0:is>
          <ns0:t>2024_US_424B4 PDF页279/F-3；286–287/F-10–11；https://ir.weride.ai/static-files/406cbf25-bb49-4020-b913-f9cca1283c6e</ns0:t>
        </ns0:is>
      </ns0:c>
      <ns0:c r="E52" s="16" t="inlineStr">
        <ns0:is>
          <ns0:t>审计披露</ns0:t>
        </ns0:is>
      </ns0:c>
    </ns0:row>
    <ns0:row r="53">
      <ns0:c r="A53" s="16" t="inlineStr">
        <ns0:is>
          <ns0:t>FY2022_股权支付</ns0:t>
        </ns0:is>
      </ns0:c>
      <ns0:c r="B53" s="41" t="n">
        <ns0:v>325429</ns0:v>
      </ns0:c>
      <ns0:c r="C53" s="16" t="inlineStr">
        <ns0:is>
          <ns0:t>人民币千元</ns0:t>
        </ns0:is>
      </ns0:c>
      <ns0:c r="D53" s="16" t="inlineStr">
        <ns0:is>
          <ns0:t>FY2024_20F PDF页169/F-3；176–177/F-10–11；https://ir.weride.ai/static-files/72a895d1-7999-4f63-9d97-476c54e7ecab</ns0:t>
        </ns0:is>
      </ns0:c>
      <ns0:c r="E53" s="16" t="inlineStr">
        <ns0:is>
          <ns0:t>审计披露</ns0:t>
        </ns0:is>
      </ns0:c>
    </ns0:row>
    <ns0:row r="54">
      <ns0:c r="A54" s="16" t="inlineStr">
        <ns0:is>
          <ns0:t>FY2023_股权支付</ns0:t>
        </ns0:is>
      </ns0:c>
      <ns0:c r="B54" s="41" t="n">
        <ns0:v>931784</ns0:v>
      </ns0:c>
      <ns0:c r="C54" s="16" t="inlineStr">
        <ns0:is>
          <ns0:t>人民币千元</ns0:t>
        </ns0:is>
      </ns0:c>
      <ns0:c r="D54" s="16" t="inlineStr">
        <ns0:is>
          <ns0:t>FY2025_20F PDF页171/F-4；178/F-11；111/108；https://ir.weride.ai/system/files-encrypted/nasdaq_kms/assets/2026/04/23/10-08-17/20-F.pdf</ns0:t>
        </ns0:is>
      </ns0:c>
      <ns0:c r="E54" s="16" t="inlineStr">
        <ns0:is>
          <ns0:t>审计披露</ns0:t>
        </ns0:is>
      </ns0:c>
    </ns0:row>
    <ns0:row r="55">
      <ns0:c r="A55" s="16" t="inlineStr">
        <ns0:is>
          <ns0:t>FY2024_股权支付</ns0:t>
        </ns0:is>
      </ns0:c>
      <ns0:c r="B55" s="41" t="n">
        <ns0:v>1187867</ns0:v>
      </ns0:c>
      <ns0:c r="C55" s="16" t="inlineStr">
        <ns0:is>
          <ns0:t>人民币千元</ns0:t>
        </ns0:is>
      </ns0:c>
      <ns0:c r="D55" s="16" t="inlineStr">
        <ns0:is>
          <ns0:t>FY2025_20F PDF页171/F-4；178/F-11；111/108；https://ir.weride.ai/system/files-encrypted/nasdaq_kms/assets/2026/04/23/10-08-17/20-F.pdf</ns0:t>
        </ns0:is>
      </ns0:c>
      <ns0:c r="E55" s="16" t="inlineStr">
        <ns0:is>
          <ns0:t>审计披露</ns0:t>
        </ns0:is>
      </ns0:c>
    </ns0:row>
    <ns0:row r="56">
      <ns0:c r="A56" s="16" t="inlineStr">
        <ns0:is>
          <ns0:t>FY2025_股权支付</ns0:t>
        </ns0:is>
      </ns0:c>
      <ns0:c r="B56" s="41" t="n">
        <ns0:v>449983</ns0:v>
      </ns0:c>
      <ns0:c r="C56" s="16" t="inlineStr">
        <ns0:is>
          <ns0:t>人民币千元</ns0:t>
        </ns0:is>
      </ns0:c>
      <ns0:c r="D56" s="16" t="inlineStr">
        <ns0:is>
          <ns0:t>FY2025_20F PDF页171/F-4；178/F-11；111/108；https://ir.weride.ai/system/files-encrypted/nasdaq_kms/assets/2026/04/23/10-08-17/20-F.pdf</ns0:t>
        </ns0:is>
      </ns0:c>
      <ns0:c r="E56" s="16" t="inlineStr">
        <ns0:is>
          <ns0:t>审计披露</ns0:t>
        </ns0:is>
      </ns0:c>
    </ns0:row>
    <ns0:row r="57">
      <ns0:c r="A57" s="16" t="inlineStr">
        <ns0:is>
          <ns0:t>FY2021_调整后亏损</ns0:t>
        </ns0:is>
      </ns0:c>
      <ns0:c r="B57" s="41" t="n">
        <ns0:v>-426757</ns0:v>
      </ns0:c>
      <ns0:c r="C57" s="16" t="inlineStr">
        <ns0:is>
          <ns0:t>人民币千元</ns0:t>
        </ns0:is>
      </ns0:c>
      <ns0:c r="D57" s="16" t="inlineStr">
        <ns0:is>
          <ns0:t>2024_US_424B4 PDF页40–43/摘要Non-IFRS调节；https://ir.weride.ai/static-files/406cbf25-bb49-4020-b913-f9cca1283c6e</ns0:t>
        </ns0:is>
      </ns0:c>
      <ns0:c r="E57" s="16" t="inlineStr">
        <ns0:is>
          <ns0:t>管理层Non-IFRS；非中国扣非口径</ns0:t>
        </ns0:is>
      </ns0:c>
    </ns0:row>
    <ns0:row r="58">
      <ns0:c r="A58" s="16" t="inlineStr">
        <ns0:is>
          <ns0:t>FY2022_调整后亏损</ns0:t>
        </ns0:is>
      </ns0:c>
      <ns0:c r="B58" s="41" t="n">
        <ns0:v>-401683</ns0:v>
      </ns0:c>
      <ns0:c r="C58" s="16" t="inlineStr">
        <ns0:is>
          <ns0:t>人民币千元</ns0:t>
        </ns0:is>
      </ns0:c>
      <ns0:c r="D58" s="16" t="inlineStr">
        <ns0:is>
          <ns0:t>FY2024_20F PDF页169/F-3；176–177/F-10–11；https://ir.weride.ai/static-files/72a895d1-7999-4f63-9d97-476c54e7ecab</ns0:t>
        </ns0:is>
      </ns0:c>
      <ns0:c r="E58" s="16" t="inlineStr">
        <ns0:is>
          <ns0:t>管理层Non-IFRS；非中国扣非口径</ns0:t>
        </ns0:is>
      </ns0:c>
    </ns0:row>
    <ns0:row r="59">
      <ns0:c r="A59" s="16" t="inlineStr">
        <ns0:is>
          <ns0:t>FY2023_调整后亏损</ns0:t>
        </ns0:is>
      </ns0:c>
      <ns0:c r="B59" s="41" t="n">
        <ns0:v>-501680</ns0:v>
      </ns0:c>
      <ns0:c r="C59" s="16" t="inlineStr">
        <ns0:is>
          <ns0:t>人民币千元</ns0:t>
        </ns0:is>
      </ns0:c>
      <ns0:c r="D59" s="16" t="inlineStr">
        <ns0:is>
          <ns0:t>FY2025_20F PDF页171/F-4；178/F-11；111/108；https://ir.weride.ai/system/files-encrypted/nasdaq_kms/assets/2026/04/23/10-08-17/20-F.pdf</ns0:t>
        </ns0:is>
      </ns0:c>
      <ns0:c r="E59" s="16" t="inlineStr">
        <ns0:is>
          <ns0:t>管理层Non-IFRS；非中国扣非口径</ns0:t>
        </ns0:is>
      </ns0:c>
    </ns0:row>
    <ns0:row r="60">
      <ns0:c r="A60" s="16" t="inlineStr">
        <ns0:is>
          <ns0:t>FY2024_调整后亏损</ns0:t>
        </ns0:is>
      </ns0:c>
      <ns0:c r="B60" s="41" t="n">
        <ns0:v>-801853</ns0:v>
      </ns0:c>
      <ns0:c r="C60" s="16" t="inlineStr">
        <ns0:is>
          <ns0:t>人民币千元</ns0:t>
        </ns0:is>
      </ns0:c>
      <ns0:c r="D60" s="16" t="inlineStr">
        <ns0:is>
          <ns0:t>FY2025_20F PDF页171/F-4；178/F-11；111/108；https://ir.weride.ai/system/files-encrypted/nasdaq_kms/assets/2026/04/23/10-08-17/20-F.pdf</ns0:t>
        </ns0:is>
      </ns0:c>
      <ns0:c r="E60" s="16" t="inlineStr">
        <ns0:is>
          <ns0:t>管理层Non-IFRS；非中国扣非口径</ns0:t>
        </ns0:is>
      </ns0:c>
    </ns0:row>
    <ns0:row r="61">
      <ns0:c r="A61" s="16" t="inlineStr">
        <ns0:is>
          <ns0:t>FY2025_调整后亏损</ns0:t>
        </ns0:is>
      </ns0:c>
      <ns0:c r="B61" s="41" t="n">
        <ns0:v>-1246739</ns0:v>
      </ns0:c>
      <ns0:c r="C61" s="16" t="inlineStr">
        <ns0:is>
          <ns0:t>人民币千元</ns0:t>
        </ns0:is>
      </ns0:c>
      <ns0:c r="D61" s="16" t="inlineStr">
        <ns0:is>
          <ns0:t>FY2025_20F PDF页171/F-4；178/F-11；111/108；https://ir.weride.ai/system/files-encrypted/nasdaq_kms/assets/2026/04/23/10-08-17/20-F.pdf</ns0:t>
        </ns0:is>
      </ns0:c>
      <ns0:c r="E61" s="16" t="inlineStr">
        <ns0:is>
          <ns0:t>管理层Non-IFRS；非中国扣非口径</ns0:t>
        </ns0:is>
      </ns0:c>
    </ns0:row>
    <ns0:row r="62">
      <ns0:c r="A62" s="16" t="inlineStr">
        <ns0:is>
          <ns0:t>FY2021_融资成本</ns0:t>
        </ns0:is>
      </ns0:c>
      <ns0:c r="B62" s="41" t="n">
        <ns0:v>-6917</ns0:v>
      </ns0:c>
      <ns0:c r="C62" s="16" t="inlineStr">
        <ns0:is>
          <ns0:t>人民币千元</ns0:t>
        </ns0:is>
      </ns0:c>
      <ns0:c r="D62" s="16" t="inlineStr">
        <ns0:is>
          <ns0:t>2024_US_424B4 PDF页279/F-3；286–287/F-10–11；https://ir.weride.ai/static-files/406cbf25-bb49-4020-b913-f9cca1283c6e</ns0:t>
        </ns0:is>
      </ns0:c>
      <ns0:c r="E62" s="16" t="inlineStr">
        <ns0:is>
          <ns0:t>审计披露</ns0:t>
        </ns0:is>
      </ns0:c>
    </ns0:row>
    <ns0:row r="63">
      <ns0:c r="A63" s="16" t="inlineStr">
        <ns0:is>
          <ns0:t>FY2022_融资成本</ns0:t>
        </ns0:is>
      </ns0:c>
      <ns0:c r="B63" s="41" t="n">
        <ns0:v>-4202</ns0:v>
      </ns0:c>
      <ns0:c r="C63" s="16" t="inlineStr">
        <ns0:is>
          <ns0:t>人民币千元</ns0:t>
        </ns0:is>
      </ns0:c>
      <ns0:c r="D63" s="16" t="inlineStr">
        <ns0:is>
          <ns0:t>FY2024_20F PDF页169/F-3；176–177/F-10–11；https://ir.weride.ai/static-files/72a895d1-7999-4f63-9d97-476c54e7ecab</ns0:t>
        </ns0:is>
      </ns0:c>
      <ns0:c r="E63" s="16" t="inlineStr">
        <ns0:is>
          <ns0:t>审计披露</ns0:t>
        </ns0:is>
      </ns0:c>
    </ns0:row>
    <ns0:row r="64">
      <ns0:c r="A64" s="16" t="inlineStr">
        <ns0:is>
          <ns0:t>FY2023_融资成本</ns0:t>
        </ns0:is>
      </ns0:c>
      <ns0:c r="B64" s="41" t="n">
        <ns0:v>-3490</ns0:v>
      </ns0:c>
      <ns0:c r="C64" s="16" t="inlineStr">
        <ns0:is>
          <ns0:t>人民币千元</ns0:t>
        </ns0:is>
      </ns0:c>
      <ns0:c r="D64" s="16" t="inlineStr">
        <ns0:is>
          <ns0:t>FY2025_20F PDF页171/F-4；178/F-11；111/108；https://ir.weride.ai/system/files-encrypted/nasdaq_kms/assets/2026/04/23/10-08-17/20-F.pdf</ns0:t>
        </ns0:is>
      </ns0:c>
      <ns0:c r="E64" s="16" t="inlineStr">
        <ns0:is>
          <ns0:t>审计披露</ns0:t>
        </ns0:is>
      </ns0:c>
    </ns0:row>
    <ns0:row r="65">
      <ns0:c r="A65" s="16" t="inlineStr">
        <ns0:is>
          <ns0:t>FY2024_融资成本</ns0:t>
        </ns0:is>
      </ns0:c>
      <ns0:c r="B65" s="41" t="n">
        <ns0:v>-3451</ns0:v>
      </ns0:c>
      <ns0:c r="C65" s="16" t="inlineStr">
        <ns0:is>
          <ns0:t>人民币千元</ns0:t>
        </ns0:is>
      </ns0:c>
      <ns0:c r="D65" s="16" t="inlineStr">
        <ns0:is>
          <ns0:t>FY2025_20F PDF页171/F-4；178/F-11；111/108；https://ir.weride.ai/system/files-encrypted/nasdaq_kms/assets/2026/04/23/10-08-17/20-F.pdf</ns0:t>
        </ns0:is>
      </ns0:c>
      <ns0:c r="E65" s="16" t="inlineStr">
        <ns0:is>
          <ns0:t>审计披露</ns0:t>
        </ns0:is>
      </ns0:c>
    </ns0:row>
    <ns0:row r="66">
      <ns0:c r="A66" s="16" t="inlineStr">
        <ns0:is>
          <ns0:t>FY2025_融资成本</ns0:t>
        </ns0:is>
      </ns0:c>
      <ns0:c r="B66" s="41" t="n">
        <ns0:v>-9128</ns0:v>
      </ns0:c>
      <ns0:c r="C66" s="16" t="inlineStr">
        <ns0:is>
          <ns0:t>人民币千元</ns0:t>
        </ns0:is>
      </ns0:c>
      <ns0:c r="D66" s="16" t="inlineStr">
        <ns0:is>
          <ns0:t>FY2025_20F PDF页171/F-4；178/F-11；111/108；https://ir.weride.ai/system/files-encrypted/nasdaq_kms/assets/2026/04/23/10-08-17/20-F.pdf</ns0:t>
        </ns0:is>
      </ns0:c>
      <ns0:c r="E66" s="16" t="inlineStr">
        <ns0:is>
          <ns0:t>审计披露</ns0:t>
        </ns0:is>
      </ns0:c>
    </ns0:row>
    <ns0:row r="67">
      <ns0:c r="A67" s="16" t="inlineStr">
        <ns0:is>
          <ns0:t>FY2021_OCF</ns0:t>
        </ns0:is>
      </ns0:c>
      <ns0:c r="B67" s="41" t="n">
        <ns0:v>-506667</ns0:v>
      </ns0:c>
      <ns0:c r="C67" s="16" t="inlineStr">
        <ns0:is>
          <ns0:t>人民币千元</ns0:t>
        </ns0:is>
      </ns0:c>
      <ns0:c r="D67" s="16" t="inlineStr">
        <ns0:is>
          <ns0:t>2024_US_424B4 PDF页279/F-3；286–287/F-10–11；https://ir.weride.ai/static-files/406cbf25-bb49-4020-b913-f9cca1283c6e</ns0:t>
        </ns0:is>
      </ns0:c>
      <ns0:c r="E67" s="16" t="inlineStr">
        <ns0:is>
          <ns0:t>审计披露</ns0:t>
        </ns0:is>
      </ns0:c>
    </ns0:row>
    <ns0:row r="68">
      <ns0:c r="A68" s="16" t="inlineStr">
        <ns0:is>
          <ns0:t>FY2022_OCF</ns0:t>
        </ns0:is>
      </ns0:c>
      <ns0:c r="B68" s="41" t="n">
        <ns0:v>-670381</ns0:v>
      </ns0:c>
      <ns0:c r="C68" s="16" t="inlineStr">
        <ns0:is>
          <ns0:t>人民币千元</ns0:t>
        </ns0:is>
      </ns0:c>
      <ns0:c r="D68" s="16" t="inlineStr">
        <ns0:is>
          <ns0:t>FY2024_20F PDF页169/F-3；176–177/F-10–11；https://ir.weride.ai/static-files/72a895d1-7999-4f63-9d97-476c54e7ecab</ns0:t>
        </ns0:is>
      </ns0:c>
      <ns0:c r="E68" s="16" t="inlineStr">
        <ns0:is>
          <ns0:t>审计披露</ns0:t>
        </ns0:is>
      </ns0:c>
    </ns0:row>
    <ns0:row r="69">
      <ns0:c r="A69" s="16" t="inlineStr">
        <ns0:is>
          <ns0:t>FY2023_OCF</ns0:t>
        </ns0:is>
      </ns0:c>
      <ns0:c r="B69" s="41" t="n">
        <ns0:v>-474890</ns0:v>
      </ns0:c>
      <ns0:c r="C69" s="16" t="inlineStr">
        <ns0:is>
          <ns0:t>人民币千元</ns0:t>
        </ns0:is>
      </ns0:c>
      <ns0:c r="D69" s="16" t="inlineStr">
        <ns0:is>
          <ns0:t>FY2025_20F PDF页171/F-4；178/F-11；111/108；https://ir.weride.ai/system/files-encrypted/nasdaq_kms/assets/2026/04/23/10-08-17/20-F.pdf</ns0:t>
        </ns0:is>
      </ns0:c>
      <ns0:c r="E69" s="16" t="inlineStr">
        <ns0:is>
          <ns0:t>审计披露</ns0:t>
        </ns0:is>
      </ns0:c>
    </ns0:row>
    <ns0:row r="70">
      <ns0:c r="A70" s="16" t="inlineStr">
        <ns0:is>
          <ns0:t>FY2024_OCF</ns0:t>
        </ns0:is>
      </ns0:c>
      <ns0:c r="B70" s="41" t="n">
        <ns0:v>-593595</ns0:v>
      </ns0:c>
      <ns0:c r="C70" s="16" t="inlineStr">
        <ns0:is>
          <ns0:t>人民币千元</ns0:t>
        </ns0:is>
      </ns0:c>
      <ns0:c r="D70" s="16" t="inlineStr">
        <ns0:is>
          <ns0:t>FY2025_20F PDF页171/F-4；178/F-11；111/108；https://ir.weride.ai/system/files-encrypted/nasdaq_kms/assets/2026/04/23/10-08-17/20-F.pdf</ns0:t>
        </ns0:is>
      </ns0:c>
      <ns0:c r="E70" s="16" t="inlineStr">
        <ns0:is>
          <ns0:t>审计披露</ns0:t>
        </ns0:is>
      </ns0:c>
    </ns0:row>
    <ns0:row r="71">
      <ns0:c r="A71" s="16" t="inlineStr">
        <ns0:is>
          <ns0:t>FY2025_OCF</ns0:t>
        </ns0:is>
      </ns0:c>
      <ns0:c r="B71" s="41" t="n">
        <ns0:v>-1321734</ns0:v>
      </ns0:c>
      <ns0:c r="C71" s="16" t="inlineStr">
        <ns0:is>
          <ns0:t>人民币千元</ns0:t>
        </ns0:is>
      </ns0:c>
      <ns0:c r="D71" s="16" t="inlineStr">
        <ns0:is>
          <ns0:t>FY2025_20F PDF页171/F-4；178/F-11；111/108；https://ir.weride.ai/system/files-encrypted/nasdaq_kms/assets/2026/04/23/10-08-17/20-F.pdf</ns0:t>
        </ns0:is>
      </ns0:c>
      <ns0:c r="E71" s="16" t="inlineStr">
        <ns0:is>
          <ns0:t>审计披露</ns0:t>
        </ns0:is>
      </ns0:c>
    </ns0:row>
    <ns0:row r="72">
      <ns0:c r="A72" s="16" t="inlineStr">
        <ns0:is>
          <ns0:t>FY2021_固定资产购置</ns0:t>
        </ns0:is>
      </ns0:c>
      <ns0:c r="B72" s="41" t="n">
        <ns0:v>25156</ns0:v>
      </ns0:c>
      <ns0:c r="C72" s="16" t="inlineStr">
        <ns0:is>
          <ns0:t>人民币千元</ns0:t>
        </ns0:is>
      </ns0:c>
      <ns0:c r="D72" s="16" t="inlineStr">
        <ns0:is>
          <ns0:t>2024_US_424B4 PDF页279/F-3；286–287/F-10–11；https://ir.weride.ai/static-files/406cbf25-bb49-4020-b913-f9cca1283c6e</ns0:t>
        </ns0:is>
      </ns0:c>
      <ns0:c r="E72" s="16" t="inlineStr">
        <ns0:is>
          <ns0:t>审计披露</ns0:t>
        </ns0:is>
      </ns0:c>
    </ns0:row>
    <ns0:row r="73">
      <ns0:c r="A73" s="16" t="inlineStr">
        <ns0:is>
          <ns0:t>FY2022_固定资产购置</ns0:t>
        </ns0:is>
      </ns0:c>
      <ns0:c r="B73" s="41" t="n">
        <ns0:v>80812</ns0:v>
      </ns0:c>
      <ns0:c r="C73" s="16" t="inlineStr">
        <ns0:is>
          <ns0:t>人民币千元</ns0:t>
        </ns0:is>
      </ns0:c>
      <ns0:c r="D73" s="16" t="inlineStr">
        <ns0:is>
          <ns0:t>FY2024_20F PDF页169/F-3；176–177/F-10–11；https://ir.weride.ai/static-files/72a895d1-7999-4f63-9d97-476c54e7ecab</ns0:t>
        </ns0:is>
      </ns0:c>
      <ns0:c r="E73" s="16" t="inlineStr">
        <ns0:is>
          <ns0:t>审计披露</ns0:t>
        </ns0:is>
      </ns0:c>
    </ns0:row>
    <ns0:row r="74">
      <ns0:c r="A74" s="16" t="inlineStr">
        <ns0:is>
          <ns0:t>FY2023_固定资产购置</ns0:t>
        </ns0:is>
      </ns0:c>
      <ns0:c r="B74" s="41" t="n">
        <ns0:v>36650</ns0:v>
      </ns0:c>
      <ns0:c r="C74" s="16" t="inlineStr">
        <ns0:is>
          <ns0:t>人民币千元</ns0:t>
        </ns0:is>
      </ns0:c>
      <ns0:c r="D74" s="16" t="inlineStr">
        <ns0:is>
          <ns0:t>FY2025_20F PDF页171/F-4；178/F-11；111/108；https://ir.weride.ai/system/files-encrypted/nasdaq_kms/assets/2026/04/23/10-08-17/20-F.pdf</ns0:t>
        </ns0:is>
      </ns0:c>
      <ns0:c r="E74" s="16" t="inlineStr">
        <ns0:is>
          <ns0:t>审计披露</ns0:t>
        </ns0:is>
      </ns0:c>
    </ns0:row>
    <ns0:row r="75">
      <ns0:c r="A75" s="16" t="inlineStr">
        <ns0:is>
          <ns0:t>FY2024_固定资产购置</ns0:t>
        </ns0:is>
      </ns0:c>
      <ns0:c r="B75" s="41" t="n">
        <ns0:v>84004</ns0:v>
      </ns0:c>
      <ns0:c r="C75" s="16" t="inlineStr">
        <ns0:is>
          <ns0:t>人民币千元</ns0:t>
        </ns0:is>
      </ns0:c>
      <ns0:c r="D75" s="16" t="inlineStr">
        <ns0:is>
          <ns0:t>FY2025_20F PDF页171/F-4；178/F-11；111/108；https://ir.weride.ai/system/files-encrypted/nasdaq_kms/assets/2026/04/23/10-08-17/20-F.pdf</ns0:t>
        </ns0:is>
      </ns0:c>
      <ns0:c r="E75" s="16" t="inlineStr">
        <ns0:is>
          <ns0:t>审计披露</ns0:t>
        </ns0:is>
      </ns0:c>
    </ns0:row>
    <ns0:row r="76">
      <ns0:c r="A76" s="16" t="inlineStr">
        <ns0:is>
          <ns0:t>FY2025_固定资产购置</ns0:t>
        </ns0:is>
      </ns0:c>
      <ns0:c r="B76" s="41" t="n">
        <ns0:v>247598</ns0:v>
      </ns0:c>
      <ns0:c r="C76" s="16" t="inlineStr">
        <ns0:is>
          <ns0:t>人民币千元</ns0:t>
        </ns0:is>
      </ns0:c>
      <ns0:c r="D76" s="16" t="inlineStr">
        <ns0:is>
          <ns0:t>FY2025_20F PDF页171/F-4；178/F-11；111/108；https://ir.weride.ai/system/files-encrypted/nasdaq_kms/assets/2026/04/23/10-08-17/20-F.pdf</ns0:t>
        </ns0:is>
      </ns0:c>
      <ns0:c r="E76" s="16" t="inlineStr">
        <ns0:is>
          <ns0:t>审计披露</ns0:t>
        </ns0:is>
      </ns0:c>
    </ns0:row>
    <ns0:row r="77">
      <ns0:c r="A77" s="16" t="inlineStr">
        <ns0:is>
          <ns0:t>FY2021_无形资产购置</ns0:t>
        </ns0:is>
      </ns0:c>
      <ns0:c r="B77" s="41" t="n">
        <ns0:v>481</ns0:v>
      </ns0:c>
      <ns0:c r="C77" s="16" t="inlineStr">
        <ns0:is>
          <ns0:t>人民币千元</ns0:t>
        </ns0:is>
      </ns0:c>
      <ns0:c r="D77" s="16" t="inlineStr">
        <ns0:is>
          <ns0:t>2024_US_424B4 PDF页279/F-3；286–287/F-10–11；https://ir.weride.ai/static-files/406cbf25-bb49-4020-b913-f9cca1283c6e</ns0:t>
        </ns0:is>
      </ns0:c>
      <ns0:c r="E77" s="16" t="inlineStr">
        <ns0:is>
          <ns0:t>审计披露</ns0:t>
        </ns0:is>
      </ns0:c>
    </ns0:row>
    <ns0:row r="78">
      <ns0:c r="A78" s="16" t="inlineStr">
        <ns0:is>
          <ns0:t>FY2022_无形资产购置</ns0:t>
        </ns0:is>
      </ns0:c>
      <ns0:c r="B78" s="41" t="n">
        <ns0:v>1881</ns0:v>
      </ns0:c>
      <ns0:c r="C78" s="16" t="inlineStr">
        <ns0:is>
          <ns0:t>人民币千元</ns0:t>
        </ns0:is>
      </ns0:c>
      <ns0:c r="D78" s="16" t="inlineStr">
        <ns0:is>
          <ns0:t>FY2024_20F PDF页169/F-3；176–177/F-10–11；https://ir.weride.ai/static-files/72a895d1-7999-4f63-9d97-476c54e7ecab</ns0:t>
        </ns0:is>
      </ns0:c>
      <ns0:c r="E78" s="16" t="inlineStr">
        <ns0:is>
          <ns0:t>审计披露</ns0:t>
        </ns0:is>
      </ns0:c>
    </ns0:row>
    <ns0:row r="79">
      <ns0:c r="A79" s="16" t="inlineStr">
        <ns0:is>
          <ns0:t>FY2023_无形资产购置</ns0:t>
        </ns0:is>
      </ns0:c>
      <ns0:c r="B79" s="41" t="n">
        <ns0:v>304</ns0:v>
      </ns0:c>
      <ns0:c r="C79" s="16" t="inlineStr">
        <ns0:is>
          <ns0:t>人民币千元</ns0:t>
        </ns0:is>
      </ns0:c>
      <ns0:c r="D79" s="16" t="inlineStr">
        <ns0:is>
          <ns0:t>FY2025_20F PDF页171/F-4；178/F-11；111/108；https://ir.weride.ai/system/files-encrypted/nasdaq_kms/assets/2026/04/23/10-08-17/20-F.pdf</ns0:t>
        </ns0:is>
      </ns0:c>
      <ns0:c r="E79" s="16" t="inlineStr">
        <ns0:is>
          <ns0:t>审计披露</ns0:t>
        </ns0:is>
      </ns0:c>
    </ns0:row>
    <ns0:row r="80">
      <ns0:c r="A80" s="16" t="inlineStr">
        <ns0:is>
          <ns0:t>FY2024_无形资产购置</ns0:t>
        </ns0:is>
      </ns0:c>
      <ns0:c r="B80" s="41" t="n">
        <ns0:v>1504</ns0:v>
      </ns0:c>
      <ns0:c r="C80" s="16" t="inlineStr">
        <ns0:is>
          <ns0:t>人民币千元</ns0:t>
        </ns0:is>
      </ns0:c>
      <ns0:c r="D80" s="16" t="inlineStr">
        <ns0:is>
          <ns0:t>FY2025_20F PDF页171/F-4；178/F-11；111/108；https://ir.weride.ai/system/files-encrypted/nasdaq_kms/assets/2026/04/23/10-08-17/20-F.pdf</ns0:t>
        </ns0:is>
      </ns0:c>
      <ns0:c r="E80" s="16" t="inlineStr">
        <ns0:is>
          <ns0:t>审计披露</ns0:t>
        </ns0:is>
      </ns0:c>
    </ns0:row>
    <ns0:row r="81">
      <ns0:c r="A81" s="16" t="inlineStr">
        <ns0:is>
          <ns0:t>FY2025_无形资产购置</ns0:t>
        </ns0:is>
      </ns0:c>
      <ns0:c r="B81" s="41" t="n">
        <ns0:v>848</ns0:v>
      </ns0:c>
      <ns0:c r="C81" s="16" t="inlineStr">
        <ns0:is>
          <ns0:t>人民币千元</ns0:t>
        </ns0:is>
      </ns0:c>
      <ns0:c r="D81" s="16" t="inlineStr">
        <ns0:is>
          <ns0:t>FY2025_20F PDF页171/F-4；178/F-11；111/108；https://ir.weride.ai/system/files-encrypted/nasdaq_kms/assets/2026/04/23/10-08-17/20-F.pdf</ns0:t>
        </ns0:is>
      </ns0:c>
      <ns0:c r="E81" s="16" t="inlineStr">
        <ns0:is>
          <ns0:t>审计披露</ns0:t>
        </ns0:is>
      </ns0:c>
    </ns0:row>
    <ns0:row r="82">
      <ns0:c r="A82" s="16" t="inlineStr">
        <ns0:is>
          <ns0:t>FY2021_投资现金流</ns0:t>
        </ns0:is>
      </ns0:c>
      <ns0:c r="B82" s="41" t="n">
        <ns0:v>460903</ns0:v>
      </ns0:c>
      <ns0:c r="C82" s="16" t="inlineStr">
        <ns0:is>
          <ns0:t>人民币千元</ns0:t>
        </ns0:is>
      </ns0:c>
      <ns0:c r="D82" s="16" t="inlineStr">
        <ns0:is>
          <ns0:t>2024_US_424B4 PDF页279/F-3；286–287/F-10–11；https://ir.weride.ai/static-files/406cbf25-bb49-4020-b913-f9cca1283c6e</ns0:t>
        </ns0:is>
      </ns0:c>
      <ns0:c r="E82" s="16" t="inlineStr">
        <ns0:is>
          <ns0:t>审计披露</ns0:t>
        </ns0:is>
      </ns0:c>
    </ns0:row>
    <ns0:row r="83">
      <ns0:c r="A83" s="16" t="inlineStr">
        <ns0:is>
          <ns0:t>FY2022_投资现金流</ns0:t>
        </ns0:is>
      </ns0:c>
      <ns0:c r="B83" s="41" t="n">
        <ns0:v>-2202414</ns0:v>
      </ns0:c>
      <ns0:c r="C83" s="16" t="inlineStr">
        <ns0:is>
          <ns0:t>人民币千元</ns0:t>
        </ns0:is>
      </ns0:c>
      <ns0:c r="D83" s="16" t="inlineStr">
        <ns0:is>
          <ns0:t>FY2024_20F PDF页169/F-3；176–177/F-10–11；https://ir.weride.ai/static-files/72a895d1-7999-4f63-9d97-476c54e7ecab</ns0:t>
        </ns0:is>
      </ns0:c>
      <ns0:c r="E83" s="16" t="inlineStr">
        <ns0:is>
          <ns0:t>审计披露</ns0:t>
        </ns0:is>
      </ns0:c>
    </ns0:row>
    <ns0:row r="84">
      <ns0:c r="A84" s="16" t="inlineStr">
        <ns0:is>
          <ns0:t>FY2023_投资现金流</ns0:t>
        </ns0:is>
      </ns0:c>
      <ns0:c r="B84" s="41" t="n">
        <ns0:v>-546944</ns0:v>
      </ns0:c>
      <ns0:c r="C84" s="16" t="inlineStr">
        <ns0:is>
          <ns0:t>人民币千元</ns0:t>
        </ns0:is>
      </ns0:c>
      <ns0:c r="D84" s="16" t="inlineStr">
        <ns0:is>
          <ns0:t>FY2025_20F PDF页171/F-4；178/F-11；111/108；https://ir.weride.ai/system/files-encrypted/nasdaq_kms/assets/2026/04/23/10-08-17/20-F.pdf</ns0:t>
        </ns0:is>
      </ns0:c>
      <ns0:c r="E84" s="16" t="inlineStr">
        <ns0:is>
          <ns0:t>审计披露</ns0:t>
        </ns0:is>
      </ns0:c>
    </ns0:row>
    <ns0:row r="85">
      <ns0:c r="A85" s="16" t="inlineStr">
        <ns0:is>
          <ns0:t>FY2024_投资现金流</ns0:t>
        </ns0:is>
      </ns0:c>
      <ns0:c r="B85" s="41" t="n">
        <ns0:v>325505</ns0:v>
      </ns0:c>
      <ns0:c r="C85" s="16" t="inlineStr">
        <ns0:is>
          <ns0:t>人民币千元</ns0:t>
        </ns0:is>
      </ns0:c>
      <ns0:c r="D85" s="16" t="inlineStr">
        <ns0:is>
          <ns0:t>FY2025_20F PDF页171/F-4；178/F-11；111/108；https://ir.weride.ai/system/files-encrypted/nasdaq_kms/assets/2026/04/23/10-08-17/20-F.pdf</ns0:t>
        </ns0:is>
      </ns0:c>
      <ns0:c r="E85" s="16" t="inlineStr">
        <ns0:is>
          <ns0:t>审计披露</ns0:t>
        </ns0:is>
      </ns0:c>
    </ns0:row>
    <ns0:row r="86">
      <ns0:c r="A86" s="16" t="inlineStr">
        <ns0:is>
          <ns0:t>FY2025_投资现金流</ns0:t>
        </ns0:is>
      </ns0:c>
      <ns0:c r="B86" s="41" t="n">
        <ns0:v>1505881</ns0:v>
      </ns0:c>
      <ns0:c r="C86" s="16" t="inlineStr">
        <ns0:is>
          <ns0:t>人民币千元</ns0:t>
        </ns0:is>
      </ns0:c>
      <ns0:c r="D86" s="16" t="inlineStr">
        <ns0:is>
          <ns0:t>FY2025_20F PDF页171/F-4；178/F-11；111/108；https://ir.weride.ai/system/files-encrypted/nasdaq_kms/assets/2026/04/23/10-08-17/20-F.pdf</ns0:t>
        </ns0:is>
      </ns0:c>
      <ns0:c r="E86" s="16" t="inlineStr">
        <ns0:is>
          <ns0:t>审计披露</ns0:t>
        </ns0:is>
      </ns0:c>
    </ns0:row>
    <ns0:row r="87">
      <ns0:c r="A87" s="16" t="inlineStr">
        <ns0:is>
          <ns0:t>FY2021_融资现金流</ns0:t>
        </ns0:is>
      </ns0:c>
      <ns0:c r="B87" s="41" t="n">
        <ns0:v>2603053</ns0:v>
      </ns0:c>
      <ns0:c r="C87" s="16" t="inlineStr">
        <ns0:is>
          <ns0:t>人民币千元</ns0:t>
        </ns0:is>
      </ns0:c>
      <ns0:c r="D87" s="16" t="inlineStr">
        <ns0:is>
          <ns0:t>2024_US_424B4 PDF页279/F-3；286–287/F-10–11；https://ir.weride.ai/static-files/406cbf25-bb49-4020-b913-f9cca1283c6e</ns0:t>
        </ns0:is>
      </ns0:c>
      <ns0:c r="E87" s="16" t="inlineStr">
        <ns0:is>
          <ns0:t>审计披露</ns0:t>
        </ns0:is>
      </ns0:c>
    </ns0:row>
    <ns0:row r="88">
      <ns0:c r="A88" s="16" t="inlineStr">
        <ns0:is>
          <ns0:t>FY2022_融资现金流</ns0:t>
        </ns0:is>
      </ns0:c>
      <ns0:c r="B88" s="41" t="n">
        <ns0:v>2184588</ns0:v>
      </ns0:c>
      <ns0:c r="C88" s="16" t="inlineStr">
        <ns0:is>
          <ns0:t>人民币千元</ns0:t>
        </ns0:is>
      </ns0:c>
      <ns0:c r="D88" s="16" t="inlineStr">
        <ns0:is>
          <ns0:t>FY2024_20F PDF页169/F-3；176–177/F-10–11；https://ir.weride.ai/static-files/72a895d1-7999-4f63-9d97-476c54e7ecab</ns0:t>
        </ns0:is>
      </ns0:c>
      <ns0:c r="E88" s="16" t="inlineStr">
        <ns0:is>
          <ns0:t>审计披露</ns0:t>
        </ns0:is>
      </ns0:c>
    </ns0:row>
    <ns0:row r="89">
      <ns0:c r="A89" s="16" t="inlineStr">
        <ns0:is>
          <ns0:t>FY2023_融资现金流</ns0:t>
        </ns0:is>
      </ns0:c>
      <ns0:c r="B89" s="41" t="n">
        <ns0:v>446954</ns0:v>
      </ns0:c>
      <ns0:c r="C89" s="16" t="inlineStr">
        <ns0:is>
          <ns0:t>人民币千元</ns0:t>
        </ns0:is>
      </ns0:c>
      <ns0:c r="D89" s="16" t="inlineStr">
        <ns0:is>
          <ns0:t>FY2025_20F PDF页171/F-4；178/F-11；111/108；https://ir.weride.ai/system/files-encrypted/nasdaq_kms/assets/2026/04/23/10-08-17/20-F.pdf</ns0:t>
        </ns0:is>
      </ns0:c>
      <ns0:c r="E89" s="16" t="inlineStr">
        <ns0:is>
          <ns0:t>审计披露</ns0:t>
        </ns0:is>
      </ns0:c>
    </ns0:row>
    <ns0:row r="90">
      <ns0:c r="A90" s="16" t="inlineStr">
        <ns0:is>
          <ns0:t>FY2024_融资现金流</ns0:t>
        </ns0:is>
      </ns0:c>
      <ns0:c r="B90" s="41" t="n">
        <ns0:v>2823875</ns0:v>
      </ns0:c>
      <ns0:c r="C90" s="16" t="inlineStr">
        <ns0:is>
          <ns0:t>人民币千元</ns0:t>
        </ns0:is>
      </ns0:c>
      <ns0:c r="D90" s="16" t="inlineStr">
        <ns0:is>
          <ns0:t>FY2025_20F PDF页171/F-4；178/F-11；111/108；https://ir.weride.ai/system/files-encrypted/nasdaq_kms/assets/2026/04/23/10-08-17/20-F.pdf</ns0:t>
        </ns0:is>
      </ns0:c>
      <ns0:c r="E90" s="16" t="inlineStr">
        <ns0:is>
          <ns0:t>审计披露</ns0:t>
        </ns0:is>
      </ns0:c>
    </ns0:row>
    <ns0:row r="91">
      <ns0:c r="A91" s="16" t="inlineStr">
        <ns0:is>
          <ns0:t>FY2025_融资现金流</ns0:t>
        </ns0:is>
      </ns0:c>
      <ns0:c r="B91" s="41" t="n">
        <ns0:v>2296444</ns0:v>
      </ns0:c>
      <ns0:c r="C91" s="16" t="inlineStr">
        <ns0:is>
          <ns0:t>人民币千元</ns0:t>
        </ns0:is>
      </ns0:c>
      <ns0:c r="D91" s="16" t="inlineStr">
        <ns0:is>
          <ns0:t>FY2025_20F PDF页171/F-4；178/F-11；111/108；https://ir.weride.ai/system/files-encrypted/nasdaq_kms/assets/2026/04/23/10-08-17/20-F.pdf</ns0:t>
        </ns0:is>
      </ns0:c>
      <ns0:c r="E91" s="16" t="inlineStr">
        <ns0:is>
          <ns0:t>审计披露</ns0:t>
        </ns0:is>
      </ns0:c>
    </ns0:row>
    <ns0:row r="92">
      <ns0:c r="A92" s="16" t="inlineStr">
        <ns0:is>
          <ns0:t>FY2021_现金</ns0:t>
        </ns0:is>
      </ns0:c>
      <ns0:c r="B92" s="41" t="n">
        <ns0:v>2725568</ns0:v>
      </ns0:c>
      <ns0:c r="C92" s="16" t="inlineStr">
        <ns0:is>
          <ns0:t>人民币千元</ns0:t>
        </ns0:is>
      </ns0:c>
      <ns0:c r="D92" s="16" t="inlineStr">
        <ns0:is>
          <ns0:t>2024_US_424B4 PDF页279/F-3；286–287/F-10–11；https://ir.weride.ai/static-files/406cbf25-bb49-4020-b913-f9cca1283c6e</ns0:t>
        </ns0:is>
      </ns0:c>
      <ns0:c r="E92" s="16" t="inlineStr">
        <ns0:is>
          <ns0:t>审计披露</ns0:t>
        </ns0:is>
      </ns0:c>
    </ns0:row>
    <ns0:row r="93">
      <ns0:c r="A93" s="16" t="inlineStr">
        <ns0:is>
          <ns0:t>FY2022_现金</ns0:t>
        </ns0:is>
      </ns0:c>
      <ns0:c r="B93" s="41" t="n">
        <ns0:v>2233691</ns0:v>
      </ns0:c>
      <ns0:c r="C93" s="16" t="inlineStr">
        <ns0:is>
          <ns0:t>人民币千元</ns0:t>
        </ns0:is>
      </ns0:c>
      <ns0:c r="D93" s="16" t="inlineStr">
        <ns0:is>
          <ns0:t>FY2024_20F PDF页169/F-3；176–177/F-10–11；https://ir.weride.ai/static-files/72a895d1-7999-4f63-9d97-476c54e7ecab</ns0:t>
        </ns0:is>
      </ns0:c>
      <ns0:c r="E93" s="16" t="inlineStr">
        <ns0:is>
          <ns0:t>审计披露</ns0:t>
        </ns0:is>
      </ns0:c>
    </ns0:row>
    <ns0:row r="94">
      <ns0:c r="A94" s="16" t="inlineStr">
        <ns0:is>
          <ns0:t>FY2023_现金</ns0:t>
        </ns0:is>
      </ns0:c>
      <ns0:c r="B94" s="41" t="n">
        <ns0:v>1661152</ns0:v>
      </ns0:c>
      <ns0:c r="C94" s="16" t="inlineStr">
        <ns0:is>
          <ns0:t>人民币千元</ns0:t>
        </ns0:is>
      </ns0:c>
      <ns0:c r="D94" s="16" t="inlineStr">
        <ns0:is>
          <ns0:t>FY2025_20F PDF页171/F-4；178/F-11；111/108；https://ir.weride.ai/system/files-encrypted/nasdaq_kms/assets/2026/04/23/10-08-17/20-F.pdf</ns0:t>
        </ns0:is>
      </ns0:c>
      <ns0:c r="E94" s="16" t="inlineStr">
        <ns0:is>
          <ns0:t>审计披露</ns0:t>
        </ns0:is>
      </ns0:c>
    </ns0:row>
    <ns0:row r="95">
      <ns0:c r="A95" s="16" t="inlineStr">
        <ns0:is>
          <ns0:t>FY2024_现金</ns0:t>
        </ns0:is>
      </ns0:c>
      <ns0:c r="B95" s="41" t="n">
        <ns0:v>4268300</ns0:v>
      </ns0:c>
      <ns0:c r="C95" s="16" t="inlineStr">
        <ns0:is>
          <ns0:t>人民币千元</ns0:t>
        </ns0:is>
      </ns0:c>
      <ns0:c r="D95" s="16" t="inlineStr">
        <ns0:is>
          <ns0:t>FY2025_20F PDF页171/F-4；178/F-11；111/108；https://ir.weride.ai/system/files-encrypted/nasdaq_kms/assets/2026/04/23/10-08-17/20-F.pdf</ns0:t>
        </ns0:is>
      </ns0:c>
      <ns0:c r="E95" s="16" t="inlineStr">
        <ns0:is>
          <ns0:t>审计披露</ns0:t>
        </ns0:is>
      </ns0:c>
    </ns0:row>
    <ns0:row r="96">
      <ns0:c r="A96" s="16" t="inlineStr">
        <ns0:is>
          <ns0:t>FY2025_现金</ns0:t>
        </ns0:is>
      </ns0:c>
      <ns0:c r="B96" s="41" t="n">
        <ns0:v>6666304</ns0:v>
      </ns0:c>
      <ns0:c r="C96" s="16" t="inlineStr">
        <ns0:is>
          <ns0:t>人民币千元</ns0:t>
        </ns0:is>
      </ns0:c>
      <ns0:c r="D96" s="16" t="inlineStr">
        <ns0:is>
          <ns0:t>FY2025_20F PDF页171/F-4；178/F-11；111/108；https://ir.weride.ai/system/files-encrypted/nasdaq_kms/assets/2026/04/23/10-08-17/20-F.pdf</ns0:t>
        </ns0:is>
      </ns0:c>
      <ns0:c r="E96" s="16" t="inlineStr">
        <ns0:is>
          <ns0:t>审计披露</ns0:t>
        </ns0:is>
      </ns0:c>
    </ns0:row>
    <ns0:row r="97">
      <ns0:c r="A97" s="16" t="inlineStr">
        <ns0:is>
          <ns0:t>H12023_收入</ns0:t>
        </ns0:is>
      </ns0:c>
      <ns0:c r="B97" s="41" t="n">
        <ns0:v>182869</ns0:v>
      </ns0:c>
      <ns0:c r="C97" s="16" t="inlineStr">
        <ns0:is>
          <ns0:t>人民币千元</ns0:t>
        </ns0:is>
      </ns0:c>
      <ns0:c r="D97" s="16" t="inlineStr">
        <ns0:is>
          <ns0:t>2024_US_424B4 PDF页355/F-79；361–362/F-85–86；https://ir.weride.ai/static-files/406cbf25-bb49-4020-b913-f9cca1283c6e</ns0:t>
        </ns0:is>
      </ns0:c>
      <ns0:c r="E97" s="16" t="inlineStr">
        <ns0:is>
          <ns0:t>半年披露；2024 OCF采用港股招股书后列比较数，较美招股书差378千元</ns0:t>
        </ns0:is>
      </ns0:c>
    </ns0:row>
    <ns0:row r="98">
      <ns0:c r="A98" s="16" t="inlineStr">
        <ns0:is>
          <ns0:t>H12024_收入</ns0:t>
        </ns0:is>
      </ns0:c>
      <ns0:c r="B98" s="41" t="n">
        <ns0:v>150298</ns0:v>
      </ns0:c>
      <ns0:c r="C98" s="16" t="inlineStr">
        <ns0:is>
          <ns0:t>人民币千元</ns0:t>
        </ns0:is>
      </ns0:c>
      <ns0:c r="D98" s="16" t="inlineStr">
        <ns0:is>
          <ns0:t>2024_US_424B4 PDF页355/F-79；361–362/F-85–86；https://ir.weride.ai/static-files/406cbf25-bb49-4020-b913-f9cca1283c6e</ns0:t>
        </ns0:is>
      </ns0:c>
      <ns0:c r="E98" s="16" t="inlineStr">
        <ns0:is>
          <ns0:t>半年披露；2024 OCF采用港股招股书后列比较数，较美招股书差378千元</ns0:t>
        </ns0:is>
      </ns0:c>
    </ns0:row>
    <ns0:row r="99">
      <ns0:c r="A99" s="16" t="inlineStr">
        <ns0:is>
          <ns0:t>H12025_收入</ns0:t>
        </ns0:is>
      </ns0:c>
      <ns0:c r="B99" s="41" t="n">
        <ns0:v>199615</ns0:v>
      </ns0:c>
      <ns0:c r="C99" s="16" t="inlineStr">
        <ns0:is>
          <ns0:t>人民币千元</ns0:t>
        </ns0:is>
      </ns0:c>
      <ns0:c r="D99" s="16" t="inlineStr">
        <ns0:is>
          <ns0:t>2026H1_interim PDF页47/46；53–54/52–53；https://www.hkexnews.hk/listedco/listconews/sehk/2026/0914/2026091401019.pdf</ns0:t>
        </ns0:is>
      </ns0:c>
      <ns0:c r="E99" s="16" t="inlineStr">
        <ns0:is>
          <ns0:t>半年披露；2024 OCF采用港股招股书后列比较数，较美招股书差378千元</ns0:t>
        </ns0:is>
      </ns0:c>
    </ns0:row>
    <ns0:row r="100">
      <ns0:c r="A100" s="16" t="inlineStr">
        <ns0:is>
          <ns0:t>H12026_收入</ns0:t>
        </ns0:is>
      </ns0:c>
      <ns0:c r="B100" s="41" t="n">
        <ns0:v>345857</ns0:v>
      </ns0:c>
      <ns0:c r="C100" s="16" t="inlineStr">
        <ns0:is>
          <ns0:t>人民币千元</ns0:t>
        </ns0:is>
      </ns0:c>
      <ns0:c r="D100" s="16" t="inlineStr">
        <ns0:is>
          <ns0:t>2026H1_interim PDF页47/46；53–54/52–53；https://www.hkexnews.hk/listedco/listconews/sehk/2026/0914/2026091401019.pdf</ns0:t>
        </ns0:is>
      </ns0:c>
      <ns0:c r="E100" s="16" t="inlineStr">
        <ns0:is>
          <ns0:t>半年披露；2024 OCF采用港股招股书后列比较数，较美招股书差378千元</ns0:t>
        </ns0:is>
      </ns0:c>
    </ns0:row>
    <ns0:row r="101">
      <ns0:c r="A101" s="16" t="inlineStr">
        <ns0:is>
          <ns0:t>H12023_产品</ns0:t>
        </ns0:is>
      </ns0:c>
      <ns0:c r="B101" s="41" t="n">
        <ns0:v>18553</ns0:v>
      </ns0:c>
      <ns0:c r="C101" s="16" t="inlineStr">
        <ns0:is>
          <ns0:t>人民币千元</ns0:t>
        </ns0:is>
      </ns0:c>
      <ns0:c r="D101" s="16" t="inlineStr">
        <ns0:is>
          <ns0:t>2024_US_424B4 PDF页355/F-79；361–362/F-85–86；https://ir.weride.ai/static-files/406cbf25-bb49-4020-b913-f9cca1283c6e</ns0:t>
        </ns0:is>
      </ns0:c>
      <ns0:c r="E101" s="16" t="inlineStr">
        <ns0:is>
          <ns0:t>半年披露；2024 OCF采用港股招股书后列比较数，较美招股书差378千元</ns0:t>
        </ns0:is>
      </ns0:c>
    </ns0:row>
    <ns0:row r="102">
      <ns0:c r="A102" s="16" t="inlineStr">
        <ns0:is>
          <ns0:t>H12024_产品</ns0:t>
        </ns0:is>
      </ns0:c>
      <ns0:c r="B102" s="41" t="n">
        <ns0:v>21045</ns0:v>
      </ns0:c>
      <ns0:c r="C102" s="16" t="inlineStr">
        <ns0:is>
          <ns0:t>人民币千元</ns0:t>
        </ns0:is>
      </ns0:c>
      <ns0:c r="D102" s="16" t="inlineStr">
        <ns0:is>
          <ns0:t>2024_US_424B4 PDF页355/F-79；361–362/F-85–86；https://ir.weride.ai/static-files/406cbf25-bb49-4020-b913-f9cca1283c6e</ns0:t>
        </ns0:is>
      </ns0:c>
      <ns0:c r="E102" s="16" t="inlineStr">
        <ns0:is>
          <ns0:t>半年披露；2024 OCF采用港股招股书后列比较数，较美招股书差378千元</ns0:t>
        </ns0:is>
      </ns0:c>
    </ns0:row>
    <ns0:row r="103">
      <ns0:c r="A103" s="16" t="inlineStr">
        <ns0:is>
          <ns0:t>H12025_产品</ns0:t>
        </ns0:is>
      </ns0:c>
      <ns0:c r="B103" s="41" t="n">
        <ns0:v>69281</ns0:v>
      </ns0:c>
      <ns0:c r="C103" s="16" t="inlineStr">
        <ns0:is>
          <ns0:t>人民币千元</ns0:t>
        </ns0:is>
      </ns0:c>
      <ns0:c r="D103" s="16" t="inlineStr">
        <ns0:is>
          <ns0:t>2026H1_interim PDF页47/46；53–54/52–53；https://www.hkexnews.hk/listedco/listconews/sehk/2026/0914/2026091401019.pdf</ns0:t>
        </ns0:is>
      </ns0:c>
      <ns0:c r="E103" s="16" t="inlineStr">
        <ns0:is>
          <ns0:t>半年披露；2024 OCF采用港股招股书后列比较数，较美招股书差378千元</ns0:t>
        </ns0:is>
      </ns0:c>
    </ns0:row>
    <ns0:row r="104">
      <ns0:c r="A104" s="16" t="inlineStr">
        <ns0:is>
          <ns0:t>H12026_产品</ns0:t>
        </ns0:is>
      </ns0:c>
      <ns0:c r="B104" s="41" t="n">
        <ns0:v>112783</ns0:v>
      </ns0:c>
      <ns0:c r="C104" s="16" t="inlineStr">
        <ns0:is>
          <ns0:t>人民币千元</ns0:t>
        </ns0:is>
      </ns0:c>
      <ns0:c r="D104" s="16" t="inlineStr">
        <ns0:is>
          <ns0:t>2026H1_interim PDF页47/46；53–54/52–53；https://www.hkexnews.hk/listedco/listconews/sehk/2026/0914/2026091401019.pdf</ns0:t>
        </ns0:is>
      </ns0:c>
      <ns0:c r="E104" s="16" t="inlineStr">
        <ns0:is>
          <ns0:t>半年披露；2024 OCF采用港股招股书后列比较数，较美招股书差378千元</ns0:t>
        </ns0:is>
      </ns0:c>
    </ns0:row>
    <ns0:row r="105">
      <ns0:c r="A105" s="16" t="inlineStr">
        <ns0:is>
          <ns0:t>H12023_服务</ns0:t>
        </ns0:is>
      </ns0:c>
      <ns0:c r="B105" s="41" t="n">
        <ns0:v>164316</ns0:v>
      </ns0:c>
      <ns0:c r="C105" s="16" t="inlineStr">
        <ns0:is>
          <ns0:t>人民币千元</ns0:t>
        </ns0:is>
      </ns0:c>
      <ns0:c r="D105" s="16" t="inlineStr">
        <ns0:is>
          <ns0:t>2024_US_424B4 PDF页355/F-79；361–362/F-85–86；https://ir.weride.ai/static-files/406cbf25-bb49-4020-b913-f9cca1283c6e</ns0:t>
        </ns0:is>
      </ns0:c>
      <ns0:c r="E105" s="16" t="inlineStr">
        <ns0:is>
          <ns0:t>半年披露；2024 OCF采用港股招股书后列比较数，较美招股书差378千元</ns0:t>
        </ns0:is>
      </ns0:c>
    </ns0:row>
    <ns0:row r="106">
      <ns0:c r="A106" s="16" t="inlineStr">
        <ns0:is>
          <ns0:t>H12024_服务</ns0:t>
        </ns0:is>
      </ns0:c>
      <ns0:c r="B106" s="41" t="n">
        <ns0:v>129253</ns0:v>
      </ns0:c>
      <ns0:c r="C106" s="16" t="inlineStr">
        <ns0:is>
          <ns0:t>人民币千元</ns0:t>
        </ns0:is>
      </ns0:c>
      <ns0:c r="D106" s="16" t="inlineStr">
        <ns0:is>
          <ns0:t>2024_US_424B4 PDF页355/F-79；361–362/F-85–86；https://ir.weride.ai/static-files/406cbf25-bb49-4020-b913-f9cca1283c6e</ns0:t>
        </ns0:is>
      </ns0:c>
      <ns0:c r="E106" s="16" t="inlineStr">
        <ns0:is>
          <ns0:t>半年披露；2024 OCF采用港股招股书后列比较数，较美招股书差378千元</ns0:t>
        </ns0:is>
      </ns0:c>
    </ns0:row>
    <ns0:row r="107">
      <ns0:c r="A107" s="16" t="inlineStr">
        <ns0:is>
          <ns0:t>H12025_服务</ns0:t>
        </ns0:is>
      </ns0:c>
      <ns0:c r="B107" s="41" t="n">
        <ns0:v>130334</ns0:v>
      </ns0:c>
      <ns0:c r="C107" s="16" t="inlineStr">
        <ns0:is>
          <ns0:t>人民币千元</ns0:t>
        </ns0:is>
      </ns0:c>
      <ns0:c r="D107" s="16" t="inlineStr">
        <ns0:is>
          <ns0:t>2026H1_interim PDF页47/46；53–54/52–53；https://www.hkexnews.hk/listedco/listconews/sehk/2026/0914/2026091401019.pdf</ns0:t>
        </ns0:is>
      </ns0:c>
      <ns0:c r="E107" s="16" t="inlineStr">
        <ns0:is>
          <ns0:t>半年披露；2024 OCF采用港股招股书后列比较数，较美招股书差378千元</ns0:t>
        </ns0:is>
      </ns0:c>
    </ns0:row>
    <ns0:row r="108">
      <ns0:c r="A108" s="16" t="inlineStr">
        <ns0:is>
          <ns0:t>H12026_服务</ns0:t>
        </ns0:is>
      </ns0:c>
      <ns0:c r="B108" s="41" t="n">
        <ns0:v>233074</ns0:v>
      </ns0:c>
      <ns0:c r="C108" s="16" t="inlineStr">
        <ns0:is>
          <ns0:t>人民币千元</ns0:t>
        </ns0:is>
      </ns0:c>
      <ns0:c r="D108" s="16" t="inlineStr">
        <ns0:is>
          <ns0:t>2026H1_interim PDF页47/46；53–54/52–53；https://www.hkexnews.hk/listedco/listconews/sehk/2026/0914/2026091401019.pdf</ns0:t>
        </ns0:is>
      </ns0:c>
      <ns0:c r="E108" s="16" t="inlineStr">
        <ns0:is>
          <ns0:t>半年披露；2024 OCF采用港股招股书后列比较数，较美招股书差378千元</ns0:t>
        </ns0:is>
      </ns0:c>
    </ns0:row>
    <ns0:row r="109">
      <ns0:c r="A109" s="16" t="inlineStr">
        <ns0:is>
          <ns0:t>H12023_毛利</ns0:t>
        </ns0:is>
      </ns0:c>
      <ns0:c r="B109" s="41" t="n">
        <ns0:v>83975</ns0:v>
      </ns0:c>
      <ns0:c r="C109" s="16" t="inlineStr">
        <ns0:is>
          <ns0:t>人民币千元</ns0:t>
        </ns0:is>
      </ns0:c>
      <ns0:c r="D109" s="16" t="inlineStr">
        <ns0:is>
          <ns0:t>2024_US_424B4 PDF页355/F-79；361–362/F-85–86；https://ir.weride.ai/static-files/406cbf25-bb49-4020-b913-f9cca1283c6e</ns0:t>
        </ns0:is>
      </ns0:c>
      <ns0:c r="E109" s="16" t="inlineStr">
        <ns0:is>
          <ns0:t>半年披露；2024 OCF采用港股招股书后列比较数，较美招股书差378千元</ns0:t>
        </ns0:is>
      </ns0:c>
    </ns0:row>
    <ns0:row r="110">
      <ns0:c r="A110" s="16" t="inlineStr">
        <ns0:is>
          <ns0:t>H12024_毛利</ns0:t>
        </ns0:is>
      </ns0:c>
      <ns0:c r="B110" s="41" t="n">
        <ns0:v>54789</ns0:v>
      </ns0:c>
      <ns0:c r="C110" s="16" t="inlineStr">
        <ns0:is>
          <ns0:t>人民币千元</ns0:t>
        </ns0:is>
      </ns0:c>
      <ns0:c r="D110" s="16" t="inlineStr">
        <ns0:is>
          <ns0:t>2024_US_424B4 PDF页355/F-79；361–362/F-85–86；https://ir.weride.ai/static-files/406cbf25-bb49-4020-b913-f9cca1283c6e</ns0:t>
        </ns0:is>
      </ns0:c>
      <ns0:c r="E110" s="16" t="inlineStr">
        <ns0:is>
          <ns0:t>半年披露；2024 OCF采用港股招股书后列比较数，较美招股书差378千元</ns0:t>
        </ns0:is>
      </ns0:c>
    </ns0:row>
    <ns0:row r="111">
      <ns0:c r="A111" s="16" t="inlineStr">
        <ns0:is>
          <ns0:t>H12025_毛利</ns0:t>
        </ns0:is>
      </ns0:c>
      <ns0:c r="B111" s="41" t="n">
        <ns0:v>61059</ns0:v>
      </ns0:c>
      <ns0:c r="C111" s="16" t="inlineStr">
        <ns0:is>
          <ns0:t>人民币千元</ns0:t>
        </ns0:is>
      </ns0:c>
      <ns0:c r="D111" s="16" t="inlineStr">
        <ns0:is>
          <ns0:t>2026H1_interim PDF页47/46；53–54/52–53；https://www.hkexnews.hk/listedco/listconews/sehk/2026/0914/2026091401019.pdf</ns0:t>
        </ns0:is>
      </ns0:c>
      <ns0:c r="E111" s="16" t="inlineStr">
        <ns0:is>
          <ns0:t>半年披露；2024 OCF采用港股招股书后列比较数，较美招股书差378千元</ns0:t>
        </ns0:is>
      </ns0:c>
    </ns0:row>
    <ns0:row r="112">
      <ns0:c r="A112" s="16" t="inlineStr">
        <ns0:is>
          <ns0:t>H12026_毛利</ns0:t>
        </ns0:is>
      </ns0:c>
      <ns0:c r="B112" s="41" t="n">
        <ns0:v>126473</ns0:v>
      </ns0:c>
      <ns0:c r="C112" s="16" t="inlineStr">
        <ns0:is>
          <ns0:t>人民币千元</ns0:t>
        </ns0:is>
      </ns0:c>
      <ns0:c r="D112" s="16" t="inlineStr">
        <ns0:is>
          <ns0:t>2026H1_interim PDF页47/46；53–54/52–53；https://www.hkexnews.hk/listedco/listconews/sehk/2026/0914/2026091401019.pdf</ns0:t>
        </ns0:is>
      </ns0:c>
      <ns0:c r="E112" s="16" t="inlineStr">
        <ns0:is>
          <ns0:t>半年披露；2024 OCF采用港股招股书后列比较数，较美招股书差378千元</ns0:t>
        </ns0:is>
      </ns0:c>
    </ns0:row>
    <ns0:row r="113">
      <ns0:c r="A113" s="16" t="inlineStr">
        <ns0:is>
          <ns0:t>H12023_研发</ns0:t>
        </ns0:is>
      </ns0:c>
      <ns0:c r="B113" s="41" t="n">
        <ns0:v>-376121</ns0:v>
      </ns0:c>
      <ns0:c r="C113" s="16" t="inlineStr">
        <ns0:is>
          <ns0:t>人民币千元</ns0:t>
        </ns0:is>
      </ns0:c>
      <ns0:c r="D113" s="16" t="inlineStr">
        <ns0:is>
          <ns0:t>2024_US_424B4 PDF页355/F-79；361–362/F-85–86；https://ir.weride.ai/static-files/406cbf25-bb49-4020-b913-f9cca1283c6e</ns0:t>
        </ns0:is>
      </ns0:c>
      <ns0:c r="E113" s="16" t="inlineStr">
        <ns0:is>
          <ns0:t>半年披露；2024 OCF采用港股招股书后列比较数，较美招股书差378千元</ns0:t>
        </ns0:is>
      </ns0:c>
    </ns0:row>
    <ns0:row r="114">
      <ns0:c r="A114" s="16" t="inlineStr">
        <ns0:is>
          <ns0:t>H12024_研发</ns0:t>
        </ns0:is>
      </ns0:c>
      <ns0:c r="B114" s="41" t="n">
        <ns0:v>-517210</ns0:v>
      </ns0:c>
      <ns0:c r="C114" s="16" t="inlineStr">
        <ns0:is>
          <ns0:t>人民币千元</ns0:t>
        </ns0:is>
      </ns0:c>
      <ns0:c r="D114" s="16" t="inlineStr">
        <ns0:is>
          <ns0:t>2024_US_424B4 PDF页355/F-79；361–362/F-85–86；https://ir.weride.ai/static-files/406cbf25-bb49-4020-b913-f9cca1283c6e</ns0:t>
        </ns0:is>
      </ns0:c>
      <ns0:c r="E114" s="16" t="inlineStr">
        <ns0:is>
          <ns0:t>半年披露；2024 OCF采用港股招股书后列比较数，较美招股书差378千元</ns0:t>
        </ns0:is>
      </ns0:c>
    </ns0:row>
    <ns0:row r="115">
      <ns0:c r="A115" s="16" t="inlineStr">
        <ns0:is>
          <ns0:t>H12025_研发</ns0:t>
        </ns0:is>
      </ns0:c>
      <ns0:c r="B115" s="41" t="n">
        <ns0:v>-644635</ns0:v>
      </ns0:c>
      <ns0:c r="C115" s="16" t="inlineStr">
        <ns0:is>
          <ns0:t>人民币千元</ns0:t>
        </ns0:is>
      </ns0:c>
      <ns0:c r="D115" s="16" t="inlineStr">
        <ns0:is>
          <ns0:t>2026H1_interim PDF页47/46；53–54/52–53；https://www.hkexnews.hk/listedco/listconews/sehk/2026/0914/2026091401019.pdf</ns0:t>
        </ns0:is>
      </ns0:c>
      <ns0:c r="E115" s="16" t="inlineStr">
        <ns0:is>
          <ns0:t>半年披露；2024 OCF采用港股招股书后列比较数，较美招股书差378千元</ns0:t>
        </ns0:is>
      </ns0:c>
    </ns0:row>
    <ns0:row r="116">
      <ns0:c r="A116" s="16" t="inlineStr">
        <ns0:is>
          <ns0:t>H12026_研发</ns0:t>
        </ns0:is>
      </ns0:c>
      <ns0:c r="B116" s="41" t="n">
        <ns0:v>-797654</ns0:v>
      </ns0:c>
      <ns0:c r="C116" s="16" t="inlineStr">
        <ns0:is>
          <ns0:t>人民币千元</ns0:t>
        </ns0:is>
      </ns0:c>
      <ns0:c r="D116" s="16" t="inlineStr">
        <ns0:is>
          <ns0:t>2026H1_interim PDF页47/46；53–54/52–53；https://www.hkexnews.hk/listedco/listconews/sehk/2026/0914/2026091401019.pdf</ns0:t>
        </ns0:is>
      </ns0:c>
      <ns0:c r="E116" s="16" t="inlineStr">
        <ns0:is>
          <ns0:t>半年披露；2024 OCF采用港股招股书后列比较数，较美招股书差378千元</ns0:t>
        </ns0:is>
      </ns0:c>
    </ns0:row>
    <ns0:row r="117">
      <ns0:c r="A117" s="16" t="inlineStr">
        <ns0:is>
          <ns0:t>H12023_行政</ns0:t>
        </ns0:is>
      </ns0:c>
      <ns0:c r="B117" s="41" t="n">
        <ns0:v>-217101</ns0:v>
      </ns0:c>
      <ns0:c r="C117" s="16" t="inlineStr">
        <ns0:is>
          <ns0:t>人民币千元</ns0:t>
        </ns0:is>
      </ns0:c>
      <ns0:c r="D117" s="16" t="inlineStr">
        <ns0:is>
          <ns0:t>2024_US_424B4 PDF页355/F-79；361–362/F-85–86；https://ir.weride.ai/static-files/406cbf25-bb49-4020-b913-f9cca1283c6e</ns0:t>
        </ns0:is>
      </ns0:c>
      <ns0:c r="E117" s="16" t="inlineStr">
        <ns0:is>
          <ns0:t>半年披露；2024 OCF采用港股招股书后列比较数，较美招股书差378千元</ns0:t>
        </ns0:is>
      </ns0:c>
    </ns0:row>
    <ns0:row r="118">
      <ns0:c r="A118" s="16" t="inlineStr">
        <ns0:is>
          <ns0:t>H12024_行政</ns0:t>
        </ns0:is>
      </ns0:c>
      <ns0:c r="B118" s="41" t="n">
        <ns0:v>-208293</ns0:v>
      </ns0:c>
      <ns0:c r="C118" s="16" t="inlineStr">
        <ns0:is>
          <ns0:t>人民币千元</ns0:t>
        </ns0:is>
      </ns0:c>
      <ns0:c r="D118" s="16" t="inlineStr">
        <ns0:is>
          <ns0:t>2024_US_424B4 PDF页355/F-79；361–362/F-85–86；https://ir.weride.ai/static-files/406cbf25-bb49-4020-b913-f9cca1283c6e</ns0:t>
        </ns0:is>
      </ns0:c>
      <ns0:c r="E118" s="16" t="inlineStr">
        <ns0:is>
          <ns0:t>半年披露；2024 OCF采用港股招股书后列比较数，较美招股书差378千元</ns0:t>
        </ns0:is>
      </ns0:c>
    </ns0:row>
    <ns0:row r="119">
      <ns0:c r="A119" s="16" t="inlineStr">
        <ns0:is>
          <ns0:t>H12025_行政</ns0:t>
        </ns0:is>
      </ns0:c>
      <ns0:c r="B119" s="41" t="n">
        <ns0:v>-278942</ns0:v>
      </ns0:c>
      <ns0:c r="C119" s="16" t="inlineStr">
        <ns0:is>
          <ns0:t>人民币千元</ns0:t>
        </ns0:is>
      </ns0:c>
      <ns0:c r="D119" s="16" t="inlineStr">
        <ns0:is>
          <ns0:t>2026H1_interim PDF页47/46；53–54/52–53；https://www.hkexnews.hk/listedco/listconews/sehk/2026/0914/2026091401019.pdf</ns0:t>
        </ns0:is>
      </ns0:c>
      <ns0:c r="E119" s="16" t="inlineStr">
        <ns0:is>
          <ns0:t>半年披露；2024 OCF采用港股招股书后列比较数，较美招股书差378千元</ns0:t>
        </ns0:is>
      </ns0:c>
    </ns0:row>
    <ns0:row r="120">
      <ns0:c r="A120" s="16" t="inlineStr">
        <ns0:is>
          <ns0:t>H12026_行政</ns0:t>
        </ns0:is>
      </ns0:c>
      <ns0:c r="B120" s="41" t="n">
        <ns0:v>-152066</ns0:v>
      </ns0:c>
      <ns0:c r="C120" s="16" t="inlineStr">
        <ns0:is>
          <ns0:t>人民币千元</ns0:t>
        </ns0:is>
      </ns0:c>
      <ns0:c r="D120" s="16" t="inlineStr">
        <ns0:is>
          <ns0:t>2026H1_interim PDF页47/46；53–54/52–53；https://www.hkexnews.hk/listedco/listconews/sehk/2026/0914/2026091401019.pdf</ns0:t>
        </ns0:is>
      </ns0:c>
      <ns0:c r="E120" s="16" t="inlineStr">
        <ns0:is>
          <ns0:t>半年披露；2024 OCF采用港股招股书后列比较数，较美招股书差378千元</ns0:t>
        </ns0:is>
      </ns0:c>
    </ns0:row>
    <ns0:row r="121">
      <ns0:c r="A121" s="16" t="inlineStr">
        <ns0:is>
          <ns0:t>H12023_销售</ns0:t>
        </ns0:is>
      </ns0:c>
      <ns0:c r="B121" s="41" t="n">
        <ns0:v>-14619</ns0:v>
      </ns0:c>
      <ns0:c r="C121" s="16" t="inlineStr">
        <ns0:is>
          <ns0:t>人民币千元</ns0:t>
        </ns0:is>
      </ns0:c>
      <ns0:c r="D121" s="16" t="inlineStr">
        <ns0:is>
          <ns0:t>2024_US_424B4 PDF页355/F-79；361–362/F-85–86；https://ir.weride.ai/static-files/406cbf25-bb49-4020-b913-f9cca1283c6e</ns0:t>
        </ns0:is>
      </ns0:c>
      <ns0:c r="E121" s="16" t="inlineStr">
        <ns0:is>
          <ns0:t>半年披露；2024 OCF采用港股招股书后列比较数，较美招股书差378千元</ns0:t>
        </ns0:is>
      </ns0:c>
    </ns0:row>
    <ns0:row r="122">
      <ns0:c r="A122" s="16" t="inlineStr">
        <ns0:is>
          <ns0:t>H12024_销售</ns0:t>
        </ns0:is>
      </ns0:c>
      <ns0:c r="B122" s="41" t="n">
        <ns0:v>-22784</ns0:v>
      </ns0:c>
      <ns0:c r="C122" s="16" t="inlineStr">
        <ns0:is>
          <ns0:t>人民币千元</ns0:t>
        </ns0:is>
      </ns0:c>
      <ns0:c r="D122" s="16" t="inlineStr">
        <ns0:is>
          <ns0:t>2024_US_424B4 PDF页355/F-79；361–362/F-85–86；https://ir.weride.ai/static-files/406cbf25-bb49-4020-b913-f9cca1283c6e</ns0:t>
        </ns0:is>
      </ns0:c>
      <ns0:c r="E122" s="16" t="inlineStr">
        <ns0:is>
          <ns0:t>半年披露；2024 OCF采用港股招股书后列比较数，较美招股书差378千元</ns0:t>
        </ns0:is>
      </ns0:c>
    </ns0:row>
    <ns0:row r="123">
      <ns0:c r="A123" s="16" t="inlineStr">
        <ns0:is>
          <ns0:t>H12025_销售</ns0:t>
        </ns0:is>
      </ns0:c>
      <ns0:c r="B123" s="41" t="n">
        <ns0:v>-27780</ns0:v>
      </ns0:c>
      <ns0:c r="C123" s="16" t="inlineStr">
        <ns0:is>
          <ns0:t>人民币千元</ns0:t>
        </ns0:is>
      </ns0:c>
      <ns0:c r="D123" s="16" t="inlineStr">
        <ns0:is>
          <ns0:t>2026H1_interim PDF页47/46；53–54/52–53；https://www.hkexnews.hk/listedco/listconews/sehk/2026/0914/2026091401019.pdf</ns0:t>
        </ns0:is>
      </ns0:c>
      <ns0:c r="E123" s="16" t="inlineStr">
        <ns0:is>
          <ns0:t>半年披露；2024 OCF采用港股招股书后列比较数，较美招股书差378千元</ns0:t>
        </ns0:is>
      </ns0:c>
    </ns0:row>
    <ns0:row r="124">
      <ns0:c r="A124" s="16" t="inlineStr">
        <ns0:is>
          <ns0:t>H12026_销售</ns0:t>
        </ns0:is>
      </ns0:c>
      <ns0:c r="B124" s="41" t="n">
        <ns0:v>-51891</ns0:v>
      </ns0:c>
      <ns0:c r="C124" s="16" t="inlineStr">
        <ns0:is>
          <ns0:t>人民币千元</ns0:t>
        </ns0:is>
      </ns0:c>
      <ns0:c r="D124" s="16" t="inlineStr">
        <ns0:is>
          <ns0:t>2026H1_interim PDF页47/46；53–54/52–53；https://www.hkexnews.hk/listedco/listconews/sehk/2026/0914/2026091401019.pdf</ns0:t>
        </ns0:is>
      </ns0:c>
      <ns0:c r="E124" s="16" t="inlineStr">
        <ns0:is>
          <ns0:t>半年披露；2024 OCF采用港股招股书后列比较数，较美招股书差378千元</ns0:t>
        </ns0:is>
      </ns0:c>
    </ns0:row>
    <ns0:row r="125">
      <ns0:c r="A125" s="16" t="inlineStr">
        <ns0:is>
          <ns0:t>H12023_经营亏损</ns0:t>
        </ns0:is>
      </ns0:c>
      <ns0:c r="B125" s="41" t="n">
        <ns0:v>-538270</ns0:v>
      </ns0:c>
      <ns0:c r="C125" s="16" t="inlineStr">
        <ns0:is>
          <ns0:t>人民币千元</ns0:t>
        </ns0:is>
      </ns0:c>
      <ns0:c r="D125" s="16" t="inlineStr">
        <ns0:is>
          <ns0:t>2024_US_424B4 PDF页355/F-79；361–362/F-85–86；https://ir.weride.ai/static-files/406cbf25-bb49-4020-b913-f9cca1283c6e</ns0:t>
        </ns0:is>
      </ns0:c>
      <ns0:c r="E125" s="16" t="inlineStr">
        <ns0:is>
          <ns0:t>半年披露；2024 OCF采用港股招股书后列比较数，较美招股书差378千元</ns0:t>
        </ns0:is>
      </ns0:c>
    </ns0:row>
    <ns0:row r="126">
      <ns0:c r="A126" s="16" t="inlineStr">
        <ns0:is>
          <ns0:t>H12024_经营亏损</ns0:t>
        </ns0:is>
      </ns0:c>
      <ns0:c r="B126" s="41" t="n">
        <ns0:v>-698983</ns0:v>
      </ns0:c>
      <ns0:c r="C126" s="16" t="inlineStr">
        <ns0:is>
          <ns0:t>人民币千元</ns0:t>
        </ns0:is>
      </ns0:c>
      <ns0:c r="D126" s="16" t="inlineStr">
        <ns0:is>
          <ns0:t>2024_US_424B4 PDF页355/F-79；361–362/F-85–86；https://ir.weride.ai/static-files/406cbf25-bb49-4020-b913-f9cca1283c6e</ns0:t>
        </ns0:is>
      </ns0:c>
      <ns0:c r="E126" s="16" t="inlineStr">
        <ns0:is>
          <ns0:t>半年披露；2024 OCF采用港股招股书后列比较数，较美招股书差378千元</ns0:t>
        </ns0:is>
      </ns0:c>
    </ns0:row>
    <ns0:row r="127">
      <ns0:c r="A127" s="16" t="inlineStr">
        <ns0:is>
          <ns0:t>H12025_经营亏损</ns0:t>
        </ns0:is>
      </ns0:c>
      <ns0:c r="B127" s="41" t="n">
        <ns0:v>-890077</ns0:v>
      </ns0:c>
      <ns0:c r="C127" s="16" t="inlineStr">
        <ns0:is>
          <ns0:t>人民币千元</ns0:t>
        </ns0:is>
      </ns0:c>
      <ns0:c r="D127" s="16" t="inlineStr">
        <ns0:is>
          <ns0:t>2026H1_interim PDF页47/46；53–54/52–53；https://www.hkexnews.hk/listedco/listconews/sehk/2026/0914/2026091401019.pdf</ns0:t>
        </ns0:is>
      </ns0:c>
      <ns0:c r="E127" s="16" t="inlineStr">
        <ns0:is>
          <ns0:t>半年披露；2024 OCF采用港股招股书后列比较数，较美招股书差378千元</ns0:t>
        </ns0:is>
      </ns0:c>
    </ns0:row>
    <ns0:row r="128">
      <ns0:c r="A128" s="16" t="inlineStr">
        <ns0:is>
          <ns0:t>H12026_经营亏损</ns0:t>
        </ns0:is>
      </ns0:c>
      <ns0:c r="B128" s="41" t="n">
        <ns0:v>-852910</ns0:v>
      </ns0:c>
      <ns0:c r="C128" s="16" t="inlineStr">
        <ns0:is>
          <ns0:t>人民币千元</ns0:t>
        </ns0:is>
      </ns0:c>
      <ns0:c r="D128" s="16" t="inlineStr">
        <ns0:is>
          <ns0:t>2026H1_interim PDF页47/46；53–54/52–53；https://www.hkexnews.hk/listedco/listconews/sehk/2026/0914/2026091401019.pdf</ns0:t>
        </ns0:is>
      </ns0:c>
      <ns0:c r="E128" s="16" t="inlineStr">
        <ns0:is>
          <ns0:t>半年披露；2024 OCF采用港股招股书后列比较数，较美招股书差378千元</ns0:t>
        </ns0:is>
      </ns0:c>
    </ns0:row>
    <ns0:row r="129">
      <ns0:c r="A129" s="16" t="inlineStr">
        <ns0:is>
          <ns0:t>H12023_归母净亏损</ns0:t>
        </ns0:is>
      </ns0:c>
      <ns0:c r="B129" s="41" t="n">
        <ns0:v>-723092</ns0:v>
      </ns0:c>
      <ns0:c r="C129" s="16" t="inlineStr">
        <ns0:is>
          <ns0:t>人民币千元</ns0:t>
        </ns0:is>
      </ns0:c>
      <ns0:c r="D129" s="16" t="inlineStr">
        <ns0:is>
          <ns0:t>2024_US_424B4 PDF页355/F-79；361–362/F-85–86；https://ir.weride.ai/static-files/406cbf25-bb49-4020-b913-f9cca1283c6e</ns0:t>
        </ns0:is>
      </ns0:c>
      <ns0:c r="E129" s="16" t="inlineStr">
        <ns0:is>
          <ns0:t>半年披露；2024 OCF采用港股招股书后列比较数，较美招股书差378千元</ns0:t>
        </ns0:is>
      </ns0:c>
    </ns0:row>
    <ns0:row r="130">
      <ns0:c r="A130" s="16" t="inlineStr">
        <ns0:is>
          <ns0:t>H12024_归母净亏损</ns0:t>
        </ns0:is>
      </ns0:c>
      <ns0:c r="B130" s="41" t="n">
        <ns0:v>-881700</ns0:v>
      </ns0:c>
      <ns0:c r="C130" s="16" t="inlineStr">
        <ns0:is>
          <ns0:t>人民币千元</ns0:t>
        </ns0:is>
      </ns0:c>
      <ns0:c r="D130" s="16" t="inlineStr">
        <ns0:is>
          <ns0:t>2024_US_424B4 PDF页355/F-79；361–362/F-85–86；https://ir.weride.ai/static-files/406cbf25-bb49-4020-b913-f9cca1283c6e</ns0:t>
        </ns0:is>
      </ns0:c>
      <ns0:c r="E130" s="16" t="inlineStr">
        <ns0:is>
          <ns0:t>半年披露；2024 OCF采用港股招股书后列比较数，较美招股书差378千元</ns0:t>
        </ns0:is>
      </ns0:c>
    </ns0:row>
    <ns0:row r="131">
      <ns0:c r="A131" s="16" t="inlineStr">
        <ns0:is>
          <ns0:t>H12025_归母净亏损</ns0:t>
        </ns0:is>
      </ns0:c>
      <ns0:c r="B131" s="41" t="n">
        <ns0:v>-791517</ns0:v>
      </ns0:c>
      <ns0:c r="C131" s="16" t="inlineStr">
        <ns0:is>
          <ns0:t>人民币千元</ns0:t>
        </ns0:is>
      </ns0:c>
      <ns0:c r="D131" s="16" t="inlineStr">
        <ns0:is>
          <ns0:t>2026H1_interim PDF页47/46；53–54/52–53；https://www.hkexnews.hk/listedco/listconews/sehk/2026/0914/2026091401019.pdf</ns0:t>
        </ns0:is>
      </ns0:c>
      <ns0:c r="E131" s="16" t="inlineStr">
        <ns0:is>
          <ns0:t>半年披露；2024 OCF采用港股招股书后列比较数，较美招股书差378千元</ns0:t>
        </ns0:is>
      </ns0:c>
    </ns0:row>
    <ns0:row r="132">
      <ns0:c r="A132" s="16" t="inlineStr">
        <ns0:is>
          <ns0:t>H12026_归母净亏损</ns0:t>
        </ns0:is>
      </ns0:c>
      <ns0:c r="B132" s="41" t="n">
        <ns0:v>-789750</ns0:v>
      </ns0:c>
      <ns0:c r="C132" s="16" t="inlineStr">
        <ns0:is>
          <ns0:t>人民币千元</ns0:t>
        </ns0:is>
      </ns0:c>
      <ns0:c r="D132" s="16" t="inlineStr">
        <ns0:is>
          <ns0:t>2026H1_interim PDF页47/46；53–54/52–53；https://www.hkexnews.hk/listedco/listconews/sehk/2026/0914/2026091401019.pdf</ns0:t>
        </ns0:is>
      </ns0:c>
      <ns0:c r="E132" s="16" t="inlineStr">
        <ns0:is>
          <ns0:t>半年披露；2024 OCF采用港股招股书后列比较数，较美招股书差378千元</ns0:t>
        </ns0:is>
      </ns0:c>
    </ns0:row>
    <ns0:row r="133">
      <ns0:c r="A133" s="16" t="inlineStr">
        <ns0:is>
          <ns0:t>H12023_融资成本</ns0:t>
        </ns0:is>
      </ns0:c>
      <ns0:c r="B133" s="41" t="n">
        <ns0:v>-1784</ns0:v>
      </ns0:c>
      <ns0:c r="C133" s="16" t="inlineStr">
        <ns0:is>
          <ns0:t>人民币千元</ns0:t>
        </ns0:is>
      </ns0:c>
      <ns0:c r="D133" s="16" t="inlineStr">
        <ns0:is>
          <ns0:t>2024_US_424B4 PDF页355/F-79；361–362/F-85–86；https://ir.weride.ai/static-files/406cbf25-bb49-4020-b913-f9cca1283c6e</ns0:t>
        </ns0:is>
      </ns0:c>
      <ns0:c r="E133" s="16" t="inlineStr">
        <ns0:is>
          <ns0:t>半年披露；2024 OCF采用港股招股书后列比较数，较美招股书差378千元</ns0:t>
        </ns0:is>
      </ns0:c>
    </ns0:row>
    <ns0:row r="134">
      <ns0:c r="A134" s="16" t="inlineStr">
        <ns0:is>
          <ns0:t>H12024_融资成本</ns0:t>
        </ns0:is>
      </ns0:c>
      <ns0:c r="B134" s="41" t="n">
        <ns0:v>-1356</ns0:v>
      </ns0:c>
      <ns0:c r="C134" s="16" t="inlineStr">
        <ns0:is>
          <ns0:t>人民币千元</ns0:t>
        </ns0:is>
      </ns0:c>
      <ns0:c r="D134" s="16" t="inlineStr">
        <ns0:is>
          <ns0:t>2024_US_424B4 PDF页355/F-79；361–362/F-85–86；https://ir.weride.ai/static-files/406cbf25-bb49-4020-b913-f9cca1283c6e</ns0:t>
        </ns0:is>
      </ns0:c>
      <ns0:c r="E134" s="16" t="inlineStr">
        <ns0:is>
          <ns0:t>半年披露；2024 OCF采用港股招股书后列比较数，较美招股书差378千元</ns0:t>
        </ns0:is>
      </ns0:c>
    </ns0:row>
    <ns0:row r="135">
      <ns0:c r="A135" s="16" t="inlineStr">
        <ns0:is>
          <ns0:t>H12025_融资成本</ns0:t>
        </ns0:is>
      </ns0:c>
      <ns0:c r="B135" s="41" t="n">
        <ns0:v>-3292</ns0:v>
      </ns0:c>
      <ns0:c r="C135" s="16" t="inlineStr">
        <ns0:is>
          <ns0:t>人民币千元</ns0:t>
        </ns0:is>
      </ns0:c>
      <ns0:c r="D135" s="16" t="inlineStr">
        <ns0:is>
          <ns0:t>2026H1_interim PDF页47/46；53–54/52–53；https://www.hkexnews.hk/listedco/listconews/sehk/2026/0914/2026091401019.pdf</ns0:t>
        </ns0:is>
      </ns0:c>
      <ns0:c r="E135" s="16" t="inlineStr">
        <ns0:is>
          <ns0:t>半年披露；2024 OCF采用港股招股书后列比较数，较美招股书差378千元</ns0:t>
        </ns0:is>
      </ns0:c>
    </ns0:row>
    <ns0:row r="136">
      <ns0:c r="A136" s="16" t="inlineStr">
        <ns0:is>
          <ns0:t>H12026_融资成本</ns0:t>
        </ns0:is>
      </ns0:c>
      <ns0:c r="B136" s="41" t="n">
        <ns0:v>-5089</ns0:v>
      </ns0:c>
      <ns0:c r="C136" s="16" t="inlineStr">
        <ns0:is>
          <ns0:t>人民币千元</ns0:t>
        </ns0:is>
      </ns0:c>
      <ns0:c r="D136" s="16" t="inlineStr">
        <ns0:is>
          <ns0:t>2026H1_interim PDF页47/46；53–54/52–53；https://www.hkexnews.hk/listedco/listconews/sehk/2026/0914/2026091401019.pdf</ns0:t>
        </ns0:is>
      </ns0:c>
      <ns0:c r="E136" s="16" t="inlineStr">
        <ns0:is>
          <ns0:t>半年披露；2024 OCF采用港股招股书后列比较数，较美招股书差378千元</ns0:t>
        </ns0:is>
      </ns0:c>
    </ns0:row>
    <ns0:row r="137">
      <ns0:c r="A137" s="16" t="inlineStr">
        <ns0:is>
          <ns0:t>H12023_OCF</ns0:t>
        </ns0:is>
      </ns0:c>
      <ns0:c r="B137" s="41" t="n">
        <ns0:v>-223742</ns0:v>
      </ns0:c>
      <ns0:c r="C137" s="16" t="inlineStr">
        <ns0:is>
          <ns0:t>人民币千元</ns0:t>
        </ns0:is>
      </ns0:c>
      <ns0:c r="D137" s="16" t="inlineStr">
        <ns0:is>
          <ns0:t>2024_US_424B4 PDF页355/F-79；361–362/F-85–86；https://ir.weride.ai/static-files/406cbf25-bb49-4020-b913-f9cca1283c6e</ns0:t>
        </ns0:is>
      </ns0:c>
      <ns0:c r="E137" s="16" t="inlineStr">
        <ns0:is>
          <ns0:t>半年披露；2024 OCF采用港股招股书后列比较数，较美招股书差378千元</ns0:t>
        </ns0:is>
      </ns0:c>
    </ns0:row>
    <ns0:row r="138">
      <ns0:c r="A138" s="16" t="inlineStr">
        <ns0:is>
          <ns0:t>H12024_OCF</ns0:t>
        </ns0:is>
      </ns0:c>
      <ns0:c r="B138" s="41" t="n">
        <ns0:v>-327180</ns0:v>
      </ns0:c>
      <ns0:c r="C138" s="16" t="inlineStr">
        <ns0:is>
          <ns0:t>人民币千元</ns0:t>
        </ns0:is>
      </ns0:c>
      <ns0:c r="D138" s="16" t="inlineStr">
        <ns0:is>
          <ns0:t>2025_HK_prospectus PDF页592–593/I-16–17；https://www1.hkexnews.hk/listedco/listconews/sehk/2025/1028/2025102800019.pdf</ns0:t>
        </ns0:is>
      </ns0:c>
      <ns0:c r="E138" s="16" t="inlineStr">
        <ns0:is>
          <ns0:t>半年披露；2024 OCF采用港股招股书后列比较数，较美招股书差378千元</ns0:t>
        </ns0:is>
      </ns0:c>
    </ns0:row>
    <ns0:row r="139">
      <ns0:c r="A139" s="16" t="inlineStr">
        <ns0:is>
          <ns0:t>H12025_OCF</ns0:t>
        </ns0:is>
      </ns0:c>
      <ns0:c r="B139" s="41" t="n">
        <ns0:v>-663396</ns0:v>
      </ns0:c>
      <ns0:c r="C139" s="16" t="inlineStr">
        <ns0:is>
          <ns0:t>人民币千元</ns0:t>
        </ns0:is>
      </ns0:c>
      <ns0:c r="D139" s="16" t="inlineStr">
        <ns0:is>
          <ns0:t>2026H1_interim PDF页47/46；53–54/52–53；https://www.hkexnews.hk/listedco/listconews/sehk/2026/0914/2026091401019.pdf</ns0:t>
        </ns0:is>
      </ns0:c>
      <ns0:c r="E139" s="16" t="inlineStr">
        <ns0:is>
          <ns0:t>半年披露；2024 OCF采用港股招股书后列比较数，较美招股书差378千元</ns0:t>
        </ns0:is>
      </ns0:c>
    </ns0:row>
    <ns0:row r="140">
      <ns0:c r="A140" s="16" t="inlineStr">
        <ns0:is>
          <ns0:t>H12026_OCF</ns0:t>
        </ns0:is>
      </ns0:c>
      <ns0:c r="B140" s="41" t="n">
        <ns0:v>-715677</ns0:v>
      </ns0:c>
      <ns0:c r="C140" s="16" t="inlineStr">
        <ns0:is>
          <ns0:t>人民币千元</ns0:t>
        </ns0:is>
      </ns0:c>
      <ns0:c r="D140" s="16" t="inlineStr">
        <ns0:is>
          <ns0:t>2026H1_interim PDF页47/46；53–54/52–53；https://www.hkexnews.hk/listedco/listconews/sehk/2026/0914/2026091401019.pdf</ns0:t>
        </ns0:is>
      </ns0:c>
      <ns0:c r="E140" s="16" t="inlineStr">
        <ns0:is>
          <ns0:t>半年披露；2024 OCF采用港股招股书后列比较数，较美招股书差378千元</ns0:t>
        </ns0:is>
      </ns0:c>
    </ns0:row>
    <ns0:row r="141">
      <ns0:c r="A141" s="16" t="inlineStr">
        <ns0:is>
          <ns0:t>H12023_固定资产购置</ns0:t>
        </ns0:is>
      </ns0:c>
      <ns0:c r="B141" s="41" t="n">
        <ns0:v>15906</ns0:v>
      </ns0:c>
      <ns0:c r="C141" s="16" t="inlineStr">
        <ns0:is>
          <ns0:t>人民币千元</ns0:t>
        </ns0:is>
      </ns0:c>
      <ns0:c r="D141" s="16" t="inlineStr">
        <ns0:is>
          <ns0:t>2024_US_424B4 PDF页355/F-79；361–362/F-85–86；https://ir.weride.ai/static-files/406cbf25-bb49-4020-b913-f9cca1283c6e</ns0:t>
        </ns0:is>
      </ns0:c>
      <ns0:c r="E141" s="16" t="inlineStr">
        <ns0:is>
          <ns0:t>半年披露；2024 OCF采用港股招股书后列比较数，较美招股书差378千元</ns0:t>
        </ns0:is>
      </ns0:c>
    </ns0:row>
    <ns0:row r="142">
      <ns0:c r="A142" s="16" t="inlineStr">
        <ns0:is>
          <ns0:t>H12024_固定资产购置</ns0:t>
        </ns0:is>
      </ns0:c>
      <ns0:c r="B142" s="41" t="n">
        <ns0:v>33272</ns0:v>
      </ns0:c>
      <ns0:c r="C142" s="16" t="inlineStr">
        <ns0:is>
          <ns0:t>人民币千元</ns0:t>
        </ns0:is>
      </ns0:c>
      <ns0:c r="D142" s="16" t="inlineStr">
        <ns0:is>
          <ns0:t>2024_US_424B4 PDF页355/F-79；361–362/F-85–86；https://ir.weride.ai/static-files/406cbf25-bb49-4020-b913-f9cca1283c6e</ns0:t>
        </ns0:is>
      </ns0:c>
      <ns0:c r="E142" s="16" t="inlineStr">
        <ns0:is>
          <ns0:t>半年披露；2024 OCF采用港股招股书后列比较数，较美招股书差378千元</ns0:t>
        </ns0:is>
      </ns0:c>
    </ns0:row>
    <ns0:row r="143">
      <ns0:c r="A143" s="16" t="inlineStr">
        <ns0:is>
          <ns0:t>H12025_固定资产购置</ns0:t>
        </ns0:is>
      </ns0:c>
      <ns0:c r="B143" s="41" t="n">
        <ns0:v>134354</ns0:v>
      </ns0:c>
      <ns0:c r="C143" s="16" t="inlineStr">
        <ns0:is>
          <ns0:t>人民币千元</ns0:t>
        </ns0:is>
      </ns0:c>
      <ns0:c r="D143" s="16" t="inlineStr">
        <ns0:is>
          <ns0:t>2026H1_interim PDF页47/46；53–54/52–53；https://www.hkexnews.hk/listedco/listconews/sehk/2026/0914/2026091401019.pdf</ns0:t>
        </ns0:is>
      </ns0:c>
      <ns0:c r="E143" s="16" t="inlineStr">
        <ns0:is>
          <ns0:t>半年披露；2024 OCF采用港股招股书后列比较数，较美招股书差378千元</ns0:t>
        </ns0:is>
      </ns0:c>
    </ns0:row>
    <ns0:row r="144">
      <ns0:c r="A144" s="16" t="inlineStr">
        <ns0:is>
          <ns0:t>H12026_固定资产购置</ns0:t>
        </ns0:is>
      </ns0:c>
      <ns0:c r="B144" s="41" t="n">
        <ns0:v>235442</ns0:v>
      </ns0:c>
      <ns0:c r="C144" s="16" t="inlineStr">
        <ns0:is>
          <ns0:t>人民币千元</ns0:t>
        </ns0:is>
      </ns0:c>
      <ns0:c r="D144" s="16" t="inlineStr">
        <ns0:is>
          <ns0:t>2026H1_interim PDF页47/46；53–54/52–53；https://www.hkexnews.hk/listedco/listconews/sehk/2026/0914/2026091401019.pdf</ns0:t>
        </ns0:is>
      </ns0:c>
      <ns0:c r="E144" s="16" t="inlineStr">
        <ns0:is>
          <ns0:t>半年披露；2024 OCF采用港股招股书后列比较数，较美招股书差378千元</ns0:t>
        </ns0:is>
      </ns0:c>
    </ns0:row>
    <ns0:row r="145">
      <ns0:c r="A145" s="16" t="inlineStr">
        <ns0:is>
          <ns0:t>H12023_无形资产购置</ns0:t>
        </ns0:is>
      </ns0:c>
      <ns0:c r="B145" s="41" t="n">
        <ns0:v>127</ns0:v>
      </ns0:c>
      <ns0:c r="C145" s="16" t="inlineStr">
        <ns0:is>
          <ns0:t>人民币千元</ns0:t>
        </ns0:is>
      </ns0:c>
      <ns0:c r="D145" s="16" t="inlineStr">
        <ns0:is>
          <ns0:t>2024_US_424B4 PDF页355/F-79；361–362/F-85–86；https://ir.weride.ai/static-files/406cbf25-bb49-4020-b913-f9cca1283c6e</ns0:t>
        </ns0:is>
      </ns0:c>
      <ns0:c r="E145" s="16" t="inlineStr">
        <ns0:is>
          <ns0:t>半年披露；2024 OCF采用港股招股书后列比较数，较美招股书差378千元</ns0:t>
        </ns0:is>
      </ns0:c>
    </ns0:row>
    <ns0:row r="146">
      <ns0:c r="A146" s="16" t="inlineStr">
        <ns0:is>
          <ns0:t>H12024_无形资产购置</ns0:t>
        </ns0:is>
      </ns0:c>
      <ns0:c r="B146" s="41" t="n">
        <ns0:v>0</ns0:v>
      </ns0:c>
      <ns0:c r="C146" s="16" t="inlineStr">
        <ns0:is>
          <ns0:t>人民币千元</ns0:t>
        </ns0:is>
      </ns0:c>
      <ns0:c r="D146" s="16" t="inlineStr">
        <ns0:is>
          <ns0:t>2024_US_424B4 PDF页355/F-79；361–362/F-85–86；https://ir.weride.ai/static-files/406cbf25-bb49-4020-b913-f9cca1283c6e</ns0:t>
        </ns0:is>
      </ns0:c>
      <ns0:c r="E146" s="16" t="inlineStr">
        <ns0:is>
          <ns0:t>半年披露；2024 OCF采用港股招股书后列比较数，较美招股书差378千元</ns0:t>
        </ns0:is>
      </ns0:c>
    </ns0:row>
    <ns0:row r="147">
      <ns0:c r="A147" s="16" t="inlineStr">
        <ns0:is>
          <ns0:t>H12025_无形资产购置</ns0:t>
        </ns0:is>
      </ns0:c>
      <ns0:c r="B147" s="41" t="n">
        <ns0:v>117</ns0:v>
      </ns0:c>
      <ns0:c r="C147" s="16" t="inlineStr">
        <ns0:is>
          <ns0:t>人民币千元</ns0:t>
        </ns0:is>
      </ns0:c>
      <ns0:c r="D147" s="16" t="inlineStr">
        <ns0:is>
          <ns0:t>2026H1_interim PDF页47/46；53–54/52–53；https://www.hkexnews.hk/listedco/listconews/sehk/2026/0914/2026091401019.pdf</ns0:t>
        </ns0:is>
      </ns0:c>
      <ns0:c r="E147" s="16" t="inlineStr">
        <ns0:is>
          <ns0:t>半年披露；2024 OCF采用港股招股书后列比较数，较美招股书差378千元</ns0:t>
        </ns0:is>
      </ns0:c>
    </ns0:row>
    <ns0:row r="148">
      <ns0:c r="A148" s="16" t="inlineStr">
        <ns0:is>
          <ns0:t>H12026_无形资产购置</ns0:t>
        </ns0:is>
      </ns0:c>
      <ns0:c r="B148" s="41" t="n">
        <ns0:v>808</ns0:v>
      </ns0:c>
      <ns0:c r="C148" s="16" t="inlineStr">
        <ns0:is>
          <ns0:t>人民币千元</ns0:t>
        </ns0:is>
      </ns0:c>
      <ns0:c r="D148" s="16" t="inlineStr">
        <ns0:is>
          <ns0:t>2026H1_interim PDF页47/46；53–54/52–53；https://www.hkexnews.hk/listedco/listconews/sehk/2026/0914/2026091401019.pdf</ns0:t>
        </ns0:is>
      </ns0:c>
      <ns0:c r="E148" s="16" t="inlineStr">
        <ns0:is>
          <ns0:t>半年披露；2024 OCF采用港股招股书后列比较数，较美招股书差378千元</ns0:t>
        </ns0:is>
      </ns0:c>
    </ns0:row>
    <ns0:row r="149">
      <ns0:c r="A149" s="16" t="inlineStr">
        <ns0:is>
          <ns0:t>H12023_投资现金流</ns0:t>
        </ns0:is>
      </ns0:c>
      <ns0:c r="B149" s="41" t="n">
        <ns0:v>-555576</ns0:v>
      </ns0:c>
      <ns0:c r="C149" s="16" t="inlineStr">
        <ns0:is>
          <ns0:t>人民币千元</ns0:t>
        </ns0:is>
      </ns0:c>
      <ns0:c r="D149" s="16" t="inlineStr">
        <ns0:is>
          <ns0:t>2024_US_424B4 PDF页355/F-79；361–362/F-85–86；https://ir.weride.ai/static-files/406cbf25-bb49-4020-b913-f9cca1283c6e</ns0:t>
        </ns0:is>
      </ns0:c>
      <ns0:c r="E149" s="16" t="inlineStr">
        <ns0:is>
          <ns0:t>半年披露；2024 OCF采用港股招股书后列比较数，较美招股书差378千元</ns0:t>
        </ns0:is>
      </ns0:c>
    </ns0:row>
    <ns0:row r="150">
      <ns0:c r="A150" s="16" t="inlineStr">
        <ns0:is>
          <ns0:t>H12024_投资现金流</ns0:t>
        </ns0:is>
      </ns0:c>
      <ns0:c r="B150" s="41" t="n">
        <ns0:v>453236</ns0:v>
      </ns0:c>
      <ns0:c r="C150" s="16" t="inlineStr">
        <ns0:is>
          <ns0:t>人民币千元</ns0:t>
        </ns0:is>
      </ns0:c>
      <ns0:c r="D150" s="16" t="inlineStr">
        <ns0:is>
          <ns0:t>2024_US_424B4 PDF页355/F-79；361–362/F-85–86；https://ir.weride.ai/static-files/406cbf25-bb49-4020-b913-f9cca1283c6e</ns0:t>
        </ns0:is>
      </ns0:c>
      <ns0:c r="E150" s="16" t="inlineStr">
        <ns0:is>
          <ns0:t>半年披露；2024 OCF采用港股招股书后列比较数，较美招股书差378千元</ns0:t>
        </ns0:is>
      </ns0:c>
    </ns0:row>
    <ns0:row r="151">
      <ns0:c r="A151" s="16" t="inlineStr">
        <ns0:is>
          <ns0:t>H12025_投资现金流</ns0:t>
        </ns0:is>
      </ns0:c>
      <ns0:c r="B151" s="41" t="n">
        <ns0:v>218699</ns0:v>
      </ns0:c>
      <ns0:c r="C151" s="16" t="inlineStr">
        <ns0:is>
          <ns0:t>人民币千元</ns0:t>
        </ns0:is>
      </ns0:c>
      <ns0:c r="D151" s="16" t="inlineStr">
        <ns0:is>
          <ns0:t>2026H1_interim PDF页47/46；53–54/52–53；https://www.hkexnews.hk/listedco/listconews/sehk/2026/0914/2026091401019.pdf</ns0:t>
        </ns0:is>
      </ns0:c>
      <ns0:c r="E151" s="16" t="inlineStr">
        <ns0:is>
          <ns0:t>半年披露；2024 OCF采用港股招股书后列比较数，较美招股书差378千元</ns0:t>
        </ns0:is>
      </ns0:c>
    </ns0:row>
    <ns0:row r="152">
      <ns0:c r="A152" s="16" t="inlineStr">
        <ns0:is>
          <ns0:t>H12026_投资现金流</ns0:t>
        </ns0:is>
      </ns0:c>
      <ns0:c r="B152" s="41" t="n">
        <ns0:v>-960615</ns0:v>
      </ns0:c>
      <ns0:c r="C152" s="16" t="inlineStr">
        <ns0:is>
          <ns0:t>人民币千元</ns0:t>
        </ns0:is>
      </ns0:c>
      <ns0:c r="D152" s="16" t="inlineStr">
        <ns0:is>
          <ns0:t>2026H1_interim PDF页47/46；53–54/52–53；https://www.hkexnews.hk/listedco/listconews/sehk/2026/0914/2026091401019.pdf</ns0:t>
        </ns0:is>
      </ns0:c>
      <ns0:c r="E152" s="16" t="inlineStr">
        <ns0:is>
          <ns0:t>半年披露；2024 OCF采用港股招股书后列比较数，较美招股书差378千元</ns0:t>
        </ns0:is>
      </ns0:c>
    </ns0:row>
    <ns0:row r="153">
      <ns0:c r="A153" s="16" t="inlineStr">
        <ns0:is>
          <ns0:t>H12023_融资现金流</ns0:t>
        </ns0:is>
      </ns0:c>
      <ns0:c r="B153" s="41" t="n">
        <ns0:v>193356</ns0:v>
      </ns0:c>
      <ns0:c r="C153" s="16" t="inlineStr">
        <ns0:is>
          <ns0:t>人民币千元</ns0:t>
        </ns0:is>
      </ns0:c>
      <ns0:c r="D153" s="16" t="inlineStr">
        <ns0:is>
          <ns0:t>2024_US_424B4 PDF页355/F-79；361–362/F-85–86；https://ir.weride.ai/static-files/406cbf25-bb49-4020-b913-f9cca1283c6e</ns0:t>
        </ns0:is>
      </ns0:c>
      <ns0:c r="E153" s="16" t="inlineStr">
        <ns0:is>
          <ns0:t>半年披露；2024 OCF采用港股招股书后列比较数，较美招股书差378千元</ns0:t>
        </ns0:is>
      </ns0:c>
    </ns0:row>
    <ns0:row r="154">
      <ns0:c r="A154" s="16" t="inlineStr">
        <ns0:is>
          <ns0:t>H12024_融资现金流</ns0:t>
        </ns0:is>
      </ns0:c>
      <ns0:c r="B154" s="41" t="n">
        <ns0:v>-8877</ns0:v>
      </ns0:c>
      <ns0:c r="C154" s="16" t="inlineStr">
        <ns0:is>
          <ns0:t>人民币千元</ns0:t>
        </ns0:is>
      </ns0:c>
      <ns0:c r="D154" s="16" t="inlineStr">
        <ns0:is>
          <ns0:t>2025_HK_prospectus PDF页592–593/I-16–17；https://www1.hkexnews.hk/listedco/listconews/sehk/2025/1028/2025102800019.pdf</ns0:t>
        </ns0:is>
      </ns0:c>
      <ns0:c r="E154" s="16" t="inlineStr">
        <ns0:is>
          <ns0:t>半年披露；2024 OCF采用港股招股书后列比较数，较美招股书差378千元</ns0:t>
        </ns0:is>
      </ns0:c>
    </ns0:row>
    <ns0:row r="155">
      <ns0:c r="A155" s="16" t="inlineStr">
        <ns0:is>
          <ns0:t>H12025_融资现金流</ns0:t>
        </ns0:is>
      </ns0:c>
      <ns0:c r="B155" s="41" t="n">
        <ns0:v>3899</ns0:v>
      </ns0:c>
      <ns0:c r="C155" s="16" t="inlineStr">
        <ns0:is>
          <ns0:t>人民币千元</ns0:t>
        </ns0:is>
      </ns0:c>
      <ns0:c r="D155" s="16" t="inlineStr">
        <ns0:is>
          <ns0:t>2026H1_interim PDF页47/46；53–54/52–53；https://www.hkexnews.hk/listedco/listconews/sehk/2026/0914/2026091401019.pdf</ns0:t>
        </ns0:is>
      </ns0:c>
      <ns0:c r="E155" s="16" t="inlineStr">
        <ns0:is>
          <ns0:t>半年披露；2024 OCF采用港股招股书后列比较数，较美招股书差378千元</ns0:t>
        </ns0:is>
      </ns0:c>
    </ns0:row>
    <ns0:row r="156">
      <ns0:c r="A156" s="16" t="inlineStr">
        <ns0:is>
          <ns0:t>H12026_融资现金流</ns0:t>
        </ns0:is>
      </ns0:c>
      <ns0:c r="B156" s="41" t="n">
        <ns0:v>-544316</ns0:v>
      </ns0:c>
      <ns0:c r="C156" s="16" t="inlineStr">
        <ns0:is>
          <ns0:t>人民币千元</ns0:t>
        </ns0:is>
      </ns0:c>
      <ns0:c r="D156" s="16" t="inlineStr">
        <ns0:is>
          <ns0:t>2026H1_interim PDF页47/46；53–54/52–53；https://www.hkexnews.hk/listedco/listconews/sehk/2026/0914/2026091401019.pdf</ns0:t>
        </ns0:is>
      </ns0:c>
      <ns0:c r="E156" s="16" t="inlineStr">
        <ns0:is>
          <ns0:t>半年披露；2024 OCF采用港股招股书后列比较数，较美招股书差378千元</ns0:t>
        </ns0:is>
      </ns0:c>
    </ns0:row>
    <ns0:row r="157">
      <ns0:c r="A157" s="16" t="inlineStr">
        <ns0:is>
          <ns0:t>H12023_现金</ns0:t>
        </ns0:is>
      </ns0:c>
      <ns0:c r="B157" s="41" t="n">
        <ns0:v>1659970</ns0:v>
      </ns0:c>
      <ns0:c r="C157" s="16" t="inlineStr">
        <ns0:is>
          <ns0:t>人民币千元</ns0:t>
        </ns0:is>
      </ns0:c>
      <ns0:c r="D157" s="16" t="inlineStr">
        <ns0:is>
          <ns0:t>2024_US_424B4 PDF页355/F-79；361–362/F-85–86；https://ir.weride.ai/static-files/406cbf25-bb49-4020-b913-f9cca1283c6e</ns0:t>
        </ns0:is>
      </ns0:c>
      <ns0:c r="E157" s="16" t="inlineStr">
        <ns0:is>
          <ns0:t>半年披露；2024 OCF采用港股招股书后列比较数，较美招股书差378千元</ns0:t>
        </ns0:is>
      </ns0:c>
    </ns0:row>
    <ns0:row r="158">
      <ns0:c r="A158" s="16" t="inlineStr">
        <ns0:is>
          <ns0:t>H12024_现金</ns0:t>
        </ns0:is>
      </ns0:c>
      <ns0:c r="B158" s="41" t="n">
        <ns0:v>1828943</ns0:v>
      </ns0:c>
      <ns0:c r="C158" s="16" t="inlineStr">
        <ns0:is>
          <ns0:t>人民币千元</ns0:t>
        </ns0:is>
      </ns0:c>
      <ns0:c r="D158" s="16" t="inlineStr">
        <ns0:is>
          <ns0:t>2024_US_424B4 PDF页355/F-79；361–362/F-85–86；https://ir.weride.ai/static-files/406cbf25-bb49-4020-b913-f9cca1283c6e</ns0:t>
        </ns0:is>
      </ns0:c>
      <ns0:c r="E158" s="16" t="inlineStr">
        <ns0:is>
          <ns0:t>半年披露；2024 OCF采用港股招股书后列比较数，较美招股书差378千元</ns0:t>
        </ns0:is>
      </ns0:c>
    </ns0:row>
    <ns0:row r="159">
      <ns0:c r="A159" s="16" t="inlineStr">
        <ns0:is>
          <ns0:t>H12025_现金</ns0:t>
        </ns0:is>
      </ns0:c>
      <ns0:c r="B159" s="41" t="n">
        <ns0:v>3836137</ns0:v>
      </ns0:c>
      <ns0:c r="C159" s="16" t="inlineStr">
        <ns0:is>
          <ns0:t>人民币千元</ns0:t>
        </ns0:is>
      </ns0:c>
      <ns0:c r="D159" s="16" t="inlineStr">
        <ns0:is>
          <ns0:t>2026H1_interim PDF页47/46；53–54/52–53；https://www.hkexnews.hk/listedco/listconews/sehk/2026/0914/2026091401019.pdf</ns0:t>
        </ns0:is>
      </ns0:c>
      <ns0:c r="E159" s="16" t="inlineStr">
        <ns0:is>
          <ns0:t>半年披露；2024 OCF采用港股招股书后列比较数，较美招股书差378千元</ns0:t>
        </ns0:is>
      </ns0:c>
    </ns0:row>
    <ns0:row r="160">
      <ns0:c r="A160" s="16" t="inlineStr">
        <ns0:is>
          <ns0:t>H12026_现金</ns0:t>
        </ns0:is>
      </ns0:c>
      <ns0:c r="B160" s="41" t="n">
        <ns0:v>4275014</ns0:v>
      </ns0:c>
      <ns0:c r="C160" s="16" t="inlineStr">
        <ns0:is>
          <ns0:t>人民币千元</ns0:t>
        </ns0:is>
      </ns0:c>
      <ns0:c r="D160" s="16" t="inlineStr">
        <ns0:is>
          <ns0:t>2026H1_interim PDF页47/46；53–54/52–53；https://www.hkexnews.hk/listedco/listconews/sehk/2026/0914/2026091401019.pdf</ns0:t>
        </ns0:is>
      </ns0:c>
      <ns0:c r="E160" s="16" t="inlineStr">
        <ns0:is>
          <ns0:t>半年披露；2024 OCF采用港股招股书后列比较数，较美招股书差378千元</ns0:t>
        </ns0:is>
      </ns0:c>
    </ns0:row>
    <ns0:row r="161">
      <ns0:c r="A161" s="16" t="inlineStr">
        <ns0:is>
          <ns0:t>FY2022_总资产</ns0:t>
        </ns0:is>
      </ns0:c>
      <ns0:c r="B161" s="41" t="n">
        <ns0:v>5385391</ns0:v>
      </ns0:c>
      <ns0:c r="C161" s="16" t="inlineStr">
        <ns0:is>
          <ns0:t>人民币千元</ns0:t>
        </ns0:is>
      </ns0:c>
      <ns0:c r="D161" s="16" t="inlineStr">
        <ns0:is>
          <ns0:t>2024_US_424B4 PDF页281–282/F-5–6；https://ir.weride.ai/static-files/406cbf25-bb49-4020-b913-f9cca1283c6e</ns0:t>
        </ns0:is>
      </ns0:c>
      <ns0:c r="E161" s="16" t="inlineStr">
        <ns0:is>
          <ns0:t>披露</ns0:t>
        </ns0:is>
      </ns0:c>
    </ns0:row>
    <ns0:row r="162">
      <ns0:c r="A162" s="16" t="inlineStr">
        <ns0:is>
          <ns0:t>FY2023_总资产</ns0:t>
        </ns0:is>
      </ns0:c>
      <ns0:c r="B162" s="41" t="n">
        <ns0:v>5614258</ns0:v>
      </ns0:c>
      <ns0:c r="C162" s="16" t="inlineStr">
        <ns0:is>
          <ns0:t>人民币千元</ns0:t>
        </ns0:is>
      </ns0:c>
      <ns0:c r="D162" s="16" t="inlineStr">
        <ns0:is>
          <ns0:t>FY2024_20F PDF页171–172/F-5–6；https://ir.weride.ai/static-files/72a895d1-7999-4f63-9d97-476c54e7ecab</ns0:t>
        </ns0:is>
      </ns0:c>
      <ns0:c r="E162" s="16" t="inlineStr">
        <ns0:is>
          <ns0:t>披露</ns0:t>
        </ns0:is>
      </ns0:c>
    </ns0:row>
    <ns0:row r="163">
      <ns0:c r="A163" s="16" t="inlineStr">
        <ns0:is>
          <ns0:t>FY2024_总资产</ns0:t>
        </ns0:is>
      </ns0:c>
      <ns0:c r="B163" s="41" t="n">
        <ns0:v>7693770</ns0:v>
      </ns0:c>
      <ns0:c r="C163" s="16" t="inlineStr">
        <ns0:is>
          <ns0:t>人民币千元</ns0:t>
        </ns0:is>
      </ns0:c>
      <ns0:c r="D163" s="16" t="inlineStr">
        <ns0:is>
          <ns0:t>FY2025_20F PDF页173–174/F-6–7；https://ir.weride.ai/system/files-encrypted/nasdaq_kms/assets/2026/04/23/10-08-17/20-F.pdf</ns0:t>
        </ns0:is>
      </ns0:c>
      <ns0:c r="E163" s="16" t="inlineStr">
        <ns0:is>
          <ns0:t>披露</ns0:t>
        </ns0:is>
      </ns0:c>
    </ns0:row>
    <ns0:row r="164">
      <ns0:c r="A164" s="16" t="inlineStr">
        <ns0:is>
          <ns0:t>FY2025_总资产</ns0:t>
        </ns0:is>
      </ns0:c>
      <ns0:c r="B164" s="41" t="n">
        <ns0:v>8935925</ns0:v>
      </ns0:c>
      <ns0:c r="C164" s="16" t="inlineStr">
        <ns0:is>
          <ns0:t>人民币千元</ns0:t>
        </ns0:is>
      </ns0:c>
      <ns0:c r="D164" s="16" t="inlineStr">
        <ns0:is>
          <ns0:t>FY2025_20F PDF页173–174/F-6–7；https://ir.weride.ai/system/files-encrypted/nasdaq_kms/assets/2026/04/23/10-08-17/20-F.pdf</ns0:t>
        </ns0:is>
      </ns0:c>
      <ns0:c r="E164" s="16" t="inlineStr">
        <ns0:is>
          <ns0:t>披露</ns0:t>
        </ns0:is>
      </ns0:c>
    </ns0:row>
    <ns0:row r="165">
      <ns0:c r="A165" s="16" t="inlineStr">
        <ns0:is>
          <ns0:t>H12026_总资产</ns0:t>
        </ns0:is>
      </ns0:c>
      <ns0:c r="B165" s="41" t="n">
        <ns0:v>7755416</ns0:v>
      </ns0:c>
      <ns0:c r="C165" s="16" t="inlineStr">
        <ns0:is>
          <ns0:t>人民币千元</ns0:t>
        </ns0:is>
      </ns0:c>
      <ns0:c r="D165" s="16" t="inlineStr">
        <ns0:is>
          <ns0:t>2026H1_interim PDF页49–50/48–49；66–67/65–66；https://www.hkexnews.hk/listedco/listconews/sehk/2026/0914/2026091401019.pdf</ns0:t>
        </ns0:is>
      </ns0:c>
      <ns0:c r="E165" s="16" t="inlineStr">
        <ns0:is>
          <ns0:t>披露</ns0:t>
        </ns0:is>
      </ns0:c>
    </ns0:row>
    <ns0:row r="166">
      <ns0:c r="A166" s="16" t="inlineStr">
        <ns0:is>
          <ns0:t>FY2022_归母权益</ns0:t>
        </ns0:is>
      </ns0:c>
      <ns0:c r="B166" s="41" t="n">
        <ns0:v>-2082116</ns0:v>
      </ns0:c>
      <ns0:c r="C166" s="16" t="inlineStr">
        <ns0:is>
          <ns0:t>人民币千元</ns0:t>
        </ns0:is>
      </ns0:c>
      <ns0:c r="D166" s="16" t="inlineStr">
        <ns0:is>
          <ns0:t>2024_US_424B4 PDF页281–282/F-5–6；https://ir.weride.ai/static-files/406cbf25-bb49-4020-b913-f9cca1283c6e</ns0:t>
        </ns0:is>
      </ns0:c>
      <ns0:c r="E166" s="16" t="inlineStr">
        <ns0:is>
          <ns0:t>披露</ns0:t>
        </ns0:is>
      </ns0:c>
    </ns0:row>
    <ns0:row r="167">
      <ns0:c r="A167" s="16" t="inlineStr">
        <ns0:is>
          <ns0:t>FY2023_归母权益</ns0:t>
        </ns0:is>
      </ns0:c>
      <ns0:c r="B167" s="41" t="n">
        <ns0:v>-3051918</ns0:v>
      </ns0:c>
      <ns0:c r="C167" s="16" t="inlineStr">
        <ns0:is>
          <ns0:t>人民币千元</ns0:t>
        </ns0:is>
      </ns0:c>
      <ns0:c r="D167" s="16" t="inlineStr">
        <ns0:is>
          <ns0:t>FY2024_20F PDF页171–172/F-5–6；https://ir.weride.ai/static-files/72a895d1-7999-4f63-9d97-476c54e7ecab</ns0:t>
        </ns0:is>
      </ns0:c>
      <ns0:c r="E167" s="16" t="inlineStr">
        <ns0:is>
          <ns0:t>披露</ns0:t>
        </ns0:is>
      </ns0:c>
    </ns0:row>
    <ns0:row r="168">
      <ns0:c r="A168" s="16" t="inlineStr">
        <ns0:is>
          <ns0:t>FY2024_归母权益</ns0:t>
        </ns0:is>
      </ns0:c>
      <ns0:c r="B168" s="41" t="n">
        <ns0:v>7066019</ns0:v>
      </ns0:c>
      <ns0:c r="C168" s="16" t="inlineStr">
        <ns0:is>
          <ns0:t>人民币千元</ns0:t>
        </ns0:is>
      </ns0:c>
      <ns0:c r="D168" s="16" t="inlineStr">
        <ns0:is>
          <ns0:t>FY2025_20F PDF页173–174/F-6–7；https://ir.weride.ai/system/files-encrypted/nasdaq_kms/assets/2026/04/23/10-08-17/20-F.pdf</ns0:t>
        </ns0:is>
      </ns0:c>
      <ns0:c r="E168" s="16" t="inlineStr">
        <ns0:is>
          <ns0:t>披露</ns0:t>
        </ns0:is>
      </ns0:c>
    </ns0:row>
    <ns0:row r="169">
      <ns0:c r="A169" s="16" t="inlineStr">
        <ns0:is>
          <ns0:t>FY2025_归母权益</ns0:t>
        </ns0:is>
      </ns0:c>
      <ns0:c r="B169" s="41" t="n">
        <ns0:v>7900174</ns0:v>
      </ns0:c>
      <ns0:c r="C169" s="16" t="inlineStr">
        <ns0:is>
          <ns0:t>人民币千元</ns0:t>
        </ns0:is>
      </ns0:c>
      <ns0:c r="D169" s="16" t="inlineStr">
        <ns0:is>
          <ns0:t>FY2025_20F PDF页173–174/F-6–7；https://ir.weride.ai/system/files-encrypted/nasdaq_kms/assets/2026/04/23/10-08-17/20-F.pdf</ns0:t>
        </ns0:is>
      </ns0:c>
      <ns0:c r="E169" s="16" t="inlineStr">
        <ns0:is>
          <ns0:t>披露</ns0:t>
        </ns0:is>
      </ns0:c>
    </ns0:row>
    <ns0:row r="170">
      <ns0:c r="A170" s="16" t="inlineStr">
        <ns0:is>
          <ns0:t>H12026_归母权益</ns0:t>
        </ns0:is>
      </ns0:c>
      <ns0:c r="B170" s="41" t="n">
        <ns0:v>6395302</ns0:v>
      </ns0:c>
      <ns0:c r="C170" s="16" t="inlineStr">
        <ns0:is>
          <ns0:t>人民币千元</ns0:t>
        </ns0:is>
      </ns0:c>
      <ns0:c r="D170" s="16" t="inlineStr">
        <ns0:is>
          <ns0:t>2026H1_interim PDF页49–50/48–49；66–67/65–66；https://www.hkexnews.hk/listedco/listconews/sehk/2026/0914/2026091401019.pdf</ns0:t>
        </ns0:is>
      </ns0:c>
      <ns0:c r="E170" s="16" t="inlineStr">
        <ns0:is>
          <ns0:t>披露</ns0:t>
        </ns0:is>
      </ns0:c>
    </ns0:row>
    <ns0:row r="171">
      <ns0:c r="A171" s="16" t="inlineStr">
        <ns0:is>
          <ns0:t>FY2022_短期贷款</ns0:t>
        </ns0:is>
      </ns0:c>
      <ns0:c r="B171" s="41" t="n">
        <ns0:v>0</ns0:v>
      </ns0:c>
      <ns0:c r="C171" s="16" t="inlineStr">
        <ns0:is>
          <ns0:t>人民币千元</ns0:t>
        </ns0:is>
      </ns0:c>
      <ns0:c r="D171" s="16" t="inlineStr">
        <ns0:is>
          <ns0:t>2024_US_424B4 PDF页281–282/F-5–6；https://ir.weride.ai/static-files/406cbf25-bb49-4020-b913-f9cca1283c6e</ns0:t>
        </ns0:is>
      </ns0:c>
      <ns0:c r="E171" s="16" t="inlineStr">
        <ns0:is>
          <ns0:t>披露</ns0:t>
        </ns0:is>
      </ns0:c>
    </ns0:row>
    <ns0:row r="172">
      <ns0:c r="A172" s="16" t="inlineStr">
        <ns0:is>
          <ns0:t>FY2023_短期贷款</ns0:t>
        </ns0:is>
      </ns0:c>
      <ns0:c r="B172" s="41" t="n">
        <ns0:v>0</ns0:v>
      </ns0:c>
      <ns0:c r="C172" s="16" t="inlineStr">
        <ns0:is>
          <ns0:t>人民币千元</ns0:t>
        </ns0:is>
      </ns0:c>
      <ns0:c r="D172" s="16" t="inlineStr">
        <ns0:is>
          <ns0:t>FY2024_20F PDF页171–172/F-5–6；https://ir.weride.ai/static-files/72a895d1-7999-4f63-9d97-476c54e7ecab</ns0:t>
        </ns0:is>
      </ns0:c>
      <ns0:c r="E172" s="16" t="inlineStr">
        <ns0:is>
          <ns0:t>披露</ns0:t>
        </ns0:is>
      </ns0:c>
    </ns0:row>
    <ns0:row r="173">
      <ns0:c r="A173" s="16" t="inlineStr">
        <ns0:is>
          <ns0:t>FY2024_短期贷款</ns0:t>
        </ns0:is>
      </ns0:c>
      <ns0:c r="B173" s="41" t="n">
        <ns0:v>30019</ns0:v>
      </ns0:c>
      <ns0:c r="C173" s="16" t="inlineStr">
        <ns0:is>
          <ns0:t>人民币千元</ns0:t>
        </ns0:is>
      </ns0:c>
      <ns0:c r="D173" s="16" t="inlineStr">
        <ns0:is>
          <ns0:t>FY2025_20F PDF页173–174/F-6–7；https://ir.weride.ai/system/files-encrypted/nasdaq_kms/assets/2026/04/23/10-08-17/20-F.pdf</ns0:t>
        </ns0:is>
      </ns0:c>
      <ns0:c r="E173" s="16" t="inlineStr">
        <ns0:is>
          <ns0:t>披露</ns0:t>
        </ns0:is>
      </ns0:c>
    </ns0:row>
    <ns0:row r="174">
      <ns0:c r="A174" s="16" t="inlineStr">
        <ns0:is>
          <ns0:t>FY2025_短期贷款</ns0:t>
        </ns0:is>
      </ns0:c>
      <ns0:c r="B174" s="41" t="n">
        <ns0:v>324263</ns0:v>
      </ns0:c>
      <ns0:c r="C174" s="16" t="inlineStr">
        <ns0:is>
          <ns0:t>人民币千元</ns0:t>
        </ns0:is>
      </ns0:c>
      <ns0:c r="D174" s="16" t="inlineStr">
        <ns0:is>
          <ns0:t>FY2025_20F PDF页173–174/F-6–7；https://ir.weride.ai/system/files-encrypted/nasdaq_kms/assets/2026/04/23/10-08-17/20-F.pdf</ns0:t>
        </ns0:is>
      </ns0:c>
      <ns0:c r="E174" s="16" t="inlineStr">
        <ns0:is>
          <ns0:t>披露</ns0:t>
        </ns0:is>
      </ns0:c>
    </ns0:row>
    <ns0:row r="175">
      <ns0:c r="A175" s="16" t="inlineStr">
        <ns0:is>
          <ns0:t>H12026_短期贷款</ns0:t>
        </ns0:is>
      </ns0:c>
      <ns0:c r="B175" s="41" t="n">
        <ns0:v>485047</ns0:v>
      </ns0:c>
      <ns0:c r="C175" s="16" t="inlineStr">
        <ns0:is>
          <ns0:t>人民币千元</ns0:t>
        </ns0:is>
      </ns0:c>
      <ns0:c r="D175" s="16" t="inlineStr">
        <ns0:is>
          <ns0:t>2026H1_interim PDF页49–50/48–49；66–67/65–66；https://www.hkexnews.hk/listedco/listconews/sehk/2026/0914/2026091401019.pdf</ns0:t>
        </ns0:is>
      </ns0:c>
      <ns0:c r="E175" s="16" t="inlineStr">
        <ns0:is>
          <ns0:t>披露</ns0:t>
        </ns0:is>
      </ns0:c>
    </ns0:row>
    <ns0:row r="176">
      <ns0:c r="A176" s="16" t="inlineStr">
        <ns0:is>
          <ns0:t>FY2022_长期贷款</ns0:t>
        </ns0:is>
      </ns0:c>
      <ns0:c r="B176" s="41" t="n">
        <ns0:v>0</ns0:v>
      </ns0:c>
      <ns0:c r="C176" s="16" t="inlineStr">
        <ns0:is>
          <ns0:t>人民币千元</ns0:t>
        </ns0:is>
      </ns0:c>
      <ns0:c r="D176" s="16" t="inlineStr">
        <ns0:is>
          <ns0:t>2024_US_424B4 PDF页281–282/F-5–6；https://ir.weride.ai/static-files/406cbf25-bb49-4020-b913-f9cca1283c6e</ns0:t>
        </ns0:is>
      </ns0:c>
      <ns0:c r="E176" s="16" t="inlineStr">
        <ns0:is>
          <ns0:t>披露</ns0:t>
        </ns0:is>
      </ns0:c>
    </ns0:row>
    <ns0:row r="177">
      <ns0:c r="A177" s="16" t="inlineStr">
        <ns0:is>
          <ns0:t>FY2023_长期贷款</ns0:t>
        </ns0:is>
      </ns0:c>
      <ns0:c r="B177" s="41" t="n">
        <ns0:v>0</ns0:v>
      </ns0:c>
      <ns0:c r="C177" s="16" t="inlineStr">
        <ns0:is>
          <ns0:t>人民币千元</ns0:t>
        </ns0:is>
      </ns0:c>
      <ns0:c r="D177" s="16" t="inlineStr">
        <ns0:is>
          <ns0:t>FY2024_20F PDF页171–172/F-5–6；https://ir.weride.ai/static-files/72a895d1-7999-4f63-9d97-476c54e7ecab</ns0:t>
        </ns0:is>
      </ns0:c>
      <ns0:c r="E177" s="16" t="inlineStr">
        <ns0:is>
          <ns0:t>披露</ns0:t>
        </ns0:is>
      </ns0:c>
    </ns0:row>
    <ns0:row r="178">
      <ns0:c r="A178" s="16" t="inlineStr">
        <ns0:is>
          <ns0:t>FY2024_长期贷款</ns0:t>
        </ns0:is>
      </ns0:c>
      <ns0:c r="B178" s="41" t="n">
        <ns0:v>50040</ns0:v>
      </ns0:c>
      <ns0:c r="C178" s="16" t="inlineStr">
        <ns0:is>
          <ns0:t>人民币千元</ns0:t>
        </ns0:is>
      </ns0:c>
      <ns0:c r="D178" s="16" t="inlineStr">
        <ns0:is>
          <ns0:t>FY2025_20F PDF页173–174/F-6–7；https://ir.weride.ai/system/files-encrypted/nasdaq_kms/assets/2026/04/23/10-08-17/20-F.pdf</ns0:t>
        </ns0:is>
      </ns0:c>
      <ns0:c r="E178" s="16" t="inlineStr">
        <ns0:is>
          <ns0:t>披露</ns0:t>
        </ns0:is>
      </ns0:c>
    </ns0:row>
    <ns0:row r="179">
      <ns0:c r="A179" s="16" t="inlineStr">
        <ns0:is>
          <ns0:t>FY2025_长期贷款</ns0:t>
        </ns0:is>
      </ns0:c>
      <ns0:c r="B179" s="41" t="n">
        <ns0:v>0</ns0:v>
      </ns0:c>
      <ns0:c r="C179" s="16" t="inlineStr">
        <ns0:is>
          <ns0:t>人民币千元</ns0:t>
        </ns0:is>
      </ns0:c>
      <ns0:c r="D179" s="16" t="inlineStr">
        <ns0:is>
          <ns0:t>FY2025_20F PDF页173–174/F-6–7；https://ir.weride.ai/system/files-encrypted/nasdaq_kms/assets/2026/04/23/10-08-17/20-F.pdf</ns0:t>
        </ns0:is>
      </ns0:c>
      <ns0:c r="E179" s="16" t="inlineStr">
        <ns0:is>
          <ns0:t>披露</ns0:t>
        </ns0:is>
      </ns0:c>
    </ns0:row>
    <ns0:row r="180">
      <ns0:c r="A180" s="16" t="inlineStr">
        <ns0:is>
          <ns0:t>H12026_长期贷款</ns0:t>
        </ns0:is>
      </ns0:c>
      <ns0:c r="B180" s="41" t="n">
        <ns0:v>0</ns0:v>
      </ns0:c>
      <ns0:c r="C180" s="16" t="inlineStr">
        <ns0:is>
          <ns0:t>人民币千元</ns0:t>
        </ns0:is>
      </ns0:c>
      <ns0:c r="D180" s="16" t="inlineStr">
        <ns0:is>
          <ns0:t>2026H1_interim PDF页49–50/48–49；66–67/65–66；https://www.hkexnews.hk/listedco/listconews/sehk/2026/0914/2026091401019.pdf</ns0:t>
        </ns0:is>
      </ns0:c>
      <ns0:c r="E180" s="16" t="inlineStr">
        <ns0:is>
          <ns0:t>披露</ns0:t>
        </ns0:is>
      </ns0:c>
    </ns0:row>
    <ns0:row r="181">
      <ns0:c r="A181" s="16" t="inlineStr">
        <ns0:is>
          <ns0:t>FY2022_租赁流动</ns0:t>
        </ns0:is>
      </ns0:c>
      <ns0:c r="B181" s="41" t="n">
        <ns0:v>32009</ns0:v>
      </ns0:c>
      <ns0:c r="C181" s="16" t="inlineStr">
        <ns0:is>
          <ns0:t>人民币千元</ns0:t>
        </ns0:is>
      </ns0:c>
      <ns0:c r="D181" s="16" t="inlineStr">
        <ns0:is>
          <ns0:t>2024_US_424B4 PDF页281–282/F-5–6；https://ir.weride.ai/static-files/406cbf25-bb49-4020-b913-f9cca1283c6e</ns0:t>
        </ns0:is>
      </ns0:c>
      <ns0:c r="E181" s="16" t="inlineStr">
        <ns0:is>
          <ns0:t>披露</ns0:t>
        </ns0:is>
      </ns0:c>
    </ns0:row>
    <ns0:row r="182">
      <ns0:c r="A182" s="16" t="inlineStr">
        <ns0:is>
          <ns0:t>FY2023_租赁流动</ns0:t>
        </ns0:is>
      </ns0:c>
      <ns0:c r="B182" s="41" t="n">
        <ns0:v>31098</ns0:v>
      </ns0:c>
      <ns0:c r="C182" s="16" t="inlineStr">
        <ns0:is>
          <ns0:t>人民币千元</ns0:t>
        </ns0:is>
      </ns0:c>
      <ns0:c r="D182" s="16" t="inlineStr">
        <ns0:is>
          <ns0:t>FY2024_20F PDF页171–172/F-5–6；https://ir.weride.ai/static-files/72a895d1-7999-4f63-9d97-476c54e7ecab</ns0:t>
        </ns0:is>
      </ns0:c>
      <ns0:c r="E182" s="16" t="inlineStr">
        <ns0:is>
          <ns0:t>披露</ns0:t>
        </ns0:is>
      </ns0:c>
    </ns0:row>
    <ns0:row r="183">
      <ns0:c r="A183" s="16" t="inlineStr">
        <ns0:is>
          <ns0:t>FY2024_租赁流动</ns0:t>
        </ns0:is>
      </ns0:c>
      <ns0:c r="B183" s="41" t="n">
        <ns0:v>36900</ns0:v>
      </ns0:c>
      <ns0:c r="C183" s="16" t="inlineStr">
        <ns0:is>
          <ns0:t>人民币千元</ns0:t>
        </ns0:is>
      </ns0:c>
      <ns0:c r="D183" s="16" t="inlineStr">
        <ns0:is>
          <ns0:t>FY2025_20F PDF页173–174/F-6–7；https://ir.weride.ai/system/files-encrypted/nasdaq_kms/assets/2026/04/23/10-08-17/20-F.pdf</ns0:t>
        </ns0:is>
      </ns0:c>
      <ns0:c r="E183" s="16" t="inlineStr">
        <ns0:is>
          <ns0:t>披露</ns0:t>
        </ns0:is>
      </ns0:c>
    </ns0:row>
    <ns0:row r="184">
      <ns0:c r="A184" s="16" t="inlineStr">
        <ns0:is>
          <ns0:t>FY2025_租赁流动</ns0:t>
        </ns0:is>
      </ns0:c>
      <ns0:c r="B184" s="41" t="n">
        <ns0:v>31920</ns0:v>
      </ns0:c>
      <ns0:c r="C184" s="16" t="inlineStr">
        <ns0:is>
          <ns0:t>人民币千元</ns0:t>
        </ns0:is>
      </ns0:c>
      <ns0:c r="D184" s="16" t="inlineStr">
        <ns0:is>
          <ns0:t>FY2025_20F PDF页173–174/F-6–7；https://ir.weride.ai/system/files-encrypted/nasdaq_kms/assets/2026/04/23/10-08-17/20-F.pdf</ns0:t>
        </ns0:is>
      </ns0:c>
      <ns0:c r="E184" s="16" t="inlineStr">
        <ns0:is>
          <ns0:t>披露</ns0:t>
        </ns0:is>
      </ns0:c>
    </ns0:row>
    <ns0:row r="185">
      <ns0:c r="A185" s="16" t="inlineStr">
        <ns0:is>
          <ns0:t>H12026_租赁流动</ns0:t>
        </ns0:is>
      </ns0:c>
      <ns0:c r="B185" s="41" t="n">
        <ns0:v>35390</ns0:v>
      </ns0:c>
      <ns0:c r="C185" s="16" t="inlineStr">
        <ns0:is>
          <ns0:t>人民币千元</ns0:t>
        </ns0:is>
      </ns0:c>
      <ns0:c r="D185" s="16" t="inlineStr">
        <ns0:is>
          <ns0:t>2026H1_interim PDF页49–50/48–49；66–67/65–66；https://www.hkexnews.hk/listedco/listconews/sehk/2026/0914/2026091401019.pdf</ns0:t>
        </ns0:is>
      </ns0:c>
      <ns0:c r="E185" s="16" t="inlineStr">
        <ns0:is>
          <ns0:t>披露</ns0:t>
        </ns0:is>
      </ns0:c>
    </ns0:row>
    <ns0:row r="186">
      <ns0:c r="A186" s="16" t="inlineStr">
        <ns0:is>
          <ns0:t>FY2022_租赁非流动</ns0:t>
        </ns0:is>
      </ns0:c>
      <ns0:c r="B186" s="41" t="n">
        <ns0:v>35864</ns0:v>
      </ns0:c>
      <ns0:c r="C186" s="16" t="inlineStr">
        <ns0:is>
          <ns0:t>人民币千元</ns0:t>
        </ns0:is>
      </ns0:c>
      <ns0:c r="D186" s="16" t="inlineStr">
        <ns0:is>
          <ns0:t>2024_US_424B4 PDF页281–282/F-5–6；https://ir.weride.ai/static-files/406cbf25-bb49-4020-b913-f9cca1283c6e</ns0:t>
        </ns0:is>
      </ns0:c>
      <ns0:c r="E186" s="16" t="inlineStr">
        <ns0:is>
          <ns0:t>披露</ns0:t>
        </ns0:is>
      </ns0:c>
    </ns0:row>
    <ns0:row r="187">
      <ns0:c r="A187" s="16" t="inlineStr">
        <ns0:is>
          <ns0:t>FY2023_租赁非流动</ns0:t>
        </ns0:is>
      </ns0:c>
      <ns0:c r="B187" s="41" t="n">
        <ns0:v>22309</ns0:v>
      </ns0:c>
      <ns0:c r="C187" s="16" t="inlineStr">
        <ns0:is>
          <ns0:t>人民币千元</ns0:t>
        </ns0:is>
      </ns0:c>
      <ns0:c r="D187" s="16" t="inlineStr">
        <ns0:is>
          <ns0:t>FY2024_20F PDF页171–172/F-5–6；https://ir.weride.ai/static-files/72a895d1-7999-4f63-9d97-476c54e7ecab</ns0:t>
        </ns0:is>
      </ns0:c>
      <ns0:c r="E187" s="16" t="inlineStr">
        <ns0:is>
          <ns0:t>披露</ns0:t>
        </ns0:is>
      </ns0:c>
    </ns0:row>
    <ns0:row r="188">
      <ns0:c r="A188" s="16" t="inlineStr">
        <ns0:is>
          <ns0:t>FY2024_租赁非流动</ns0:t>
        </ns0:is>
      </ns0:c>
      <ns0:c r="B188" s="41" t="n">
        <ns0:v>26059</ns0:v>
      </ns0:c>
      <ns0:c r="C188" s="16" t="inlineStr">
        <ns0:is>
          <ns0:t>人民币千元</ns0:t>
        </ns0:is>
      </ns0:c>
      <ns0:c r="D188" s="16" t="inlineStr">
        <ns0:is>
          <ns0:t>FY2025_20F PDF页173–174/F-6–7；https://ir.weride.ai/system/files-encrypted/nasdaq_kms/assets/2026/04/23/10-08-17/20-F.pdf</ns0:t>
        </ns0:is>
      </ns0:c>
      <ns0:c r="E188" s="16" t="inlineStr">
        <ns0:is>
          <ns0:t>披露</ns0:t>
        </ns0:is>
      </ns0:c>
    </ns0:row>
    <ns0:row r="189">
      <ns0:c r="A189" s="16" t="inlineStr">
        <ns0:is>
          <ns0:t>FY2025_租赁非流动</ns0:t>
        </ns0:is>
      </ns0:c>
      <ns0:c r="B189" s="41" t="n">
        <ns0:v>23241</ns0:v>
      </ns0:c>
      <ns0:c r="C189" s="16" t="inlineStr">
        <ns0:is>
          <ns0:t>人民币千元</ns0:t>
        </ns0:is>
      </ns0:c>
      <ns0:c r="D189" s="16" t="inlineStr">
        <ns0:is>
          <ns0:t>FY2025_20F PDF页173–174/F-6–7；https://ir.weride.ai/system/files-encrypted/nasdaq_kms/assets/2026/04/23/10-08-17/20-F.pdf</ns0:t>
        </ns0:is>
      </ns0:c>
      <ns0:c r="E189" s="16" t="inlineStr">
        <ns0:is>
          <ns0:t>披露</ns0:t>
        </ns0:is>
      </ns0:c>
    </ns0:row>
    <ns0:row r="190">
      <ns0:c r="A190" s="16" t="inlineStr">
        <ns0:is>
          <ns0:t>H12026_租赁非流动</ns0:t>
        </ns0:is>
      </ns0:c>
      <ns0:c r="B190" s="41" t="n">
        <ns0:v>95397</ns0:v>
      </ns0:c>
      <ns0:c r="C190" s="16" t="inlineStr">
        <ns0:is>
          <ns0:t>人民币千元</ns0:t>
        </ns0:is>
      </ns0:c>
      <ns0:c r="D190" s="16" t="inlineStr">
        <ns0:is>
          <ns0:t>2026H1_interim PDF页49–50/48–49；66–67/65–66；https://www.hkexnews.hk/listedco/listconews/sehk/2026/0914/2026091401019.pdf</ns0:t>
        </ns0:is>
      </ns0:c>
      <ns0:c r="E190" s="16" t="inlineStr">
        <ns0:is>
          <ns0:t>披露</ns0:t>
        </ns0:is>
      </ns0:c>
    </ns0:row>
    <ns0:row r="191">
      <ns0:c r="A191" s="16" t="inlineStr">
        <ns0:is>
          <ns0:t>FY2022_贸易应收净额</ns0:t>
        </ns0:is>
      </ns0:c>
      <ns0:c r="B191" s="41" t="n">
        <ns0:v>236390</ns0:v>
      </ns0:c>
      <ns0:c r="C191" s="16" t="inlineStr">
        <ns0:is>
          <ns0:t>人民币千元</ns0:t>
        </ns0:is>
      </ns0:c>
      <ns0:c r="D191" s="16" t="inlineStr">
        <ns0:is>
          <ns0:t>2024_US_424B4 PDF页281–282/F-5–6；https://ir.weride.ai/static-files/406cbf25-bb49-4020-b913-f9cca1283c6e</ns0:t>
        </ns0:is>
      </ns0:c>
      <ns0:c r="E191" s="16" t="inlineStr">
        <ns0:is>
          <ns0:t>披露</ns0:t>
        </ns0:is>
      </ns0:c>
    </ns0:row>
    <ns0:row r="192">
      <ns0:c r="A192" s="16" t="inlineStr">
        <ns0:is>
          <ns0:t>FY2023_贸易应收净额</ns0:t>
        </ns0:is>
      </ns0:c>
      <ns0:c r="B192" s="41" t="n">
        <ns0:v>266933</ns0:v>
      </ns0:c>
      <ns0:c r="C192" s="16" t="inlineStr">
        <ns0:is>
          <ns0:t>人民币千元</ns0:t>
        </ns0:is>
      </ns0:c>
      <ns0:c r="D192" s="16" t="inlineStr">
        <ns0:is>
          <ns0:t>FY2024_20F PDF页171–172/F-5–6；https://ir.weride.ai/static-files/72a895d1-7999-4f63-9d97-476c54e7ecab</ns0:t>
        </ns0:is>
      </ns0:c>
      <ns0:c r="E192" s="16" t="inlineStr">
        <ns0:is>
          <ns0:t>披露</ns0:t>
        </ns0:is>
      </ns0:c>
    </ns0:row>
    <ns0:row r="193">
      <ns0:c r="A193" s="16" t="inlineStr">
        <ns0:is>
          <ns0:t>FY2024_贸易应收净额</ns0:t>
        </ns0:is>
      </ns0:c>
      <ns0:c r="B193" s="41" t="n">
        <ns0:v>252607</ns0:v>
      </ns0:c>
      <ns0:c r="C193" s="16" t="inlineStr">
        <ns0:is>
          <ns0:t>人民币千元</ns0:t>
        </ns0:is>
      </ns0:c>
      <ns0:c r="D193" s="16" t="inlineStr">
        <ns0:is>
          <ns0:t>FY2025_20F PDF页173–174/F-6–7；https://ir.weride.ai/system/files-encrypted/nasdaq_kms/assets/2026/04/23/10-08-17/20-F.pdf</ns0:t>
        </ns0:is>
      </ns0:c>
      <ns0:c r="E193" s="16" t="inlineStr">
        <ns0:is>
          <ns0:t>披露</ns0:t>
        </ns0:is>
      </ns0:c>
    </ns0:row>
    <ns0:row r="194">
      <ns0:c r="A194" s="16" t="inlineStr">
        <ns0:is>
          <ns0:t>FY2025_贸易应收净额</ns0:t>
        </ns0:is>
      </ns0:c>
      <ns0:c r="B194" s="41" t="n">
        <ns0:v>462135</ns0:v>
      </ns0:c>
      <ns0:c r="C194" s="16" t="inlineStr">
        <ns0:is>
          <ns0:t>人民币千元</ns0:t>
        </ns0:is>
      </ns0:c>
      <ns0:c r="D194" s="16" t="inlineStr">
        <ns0:is>
          <ns0:t>FY2025_20F PDF页173–174/F-6–7；https://ir.weride.ai/system/files-encrypted/nasdaq_kms/assets/2026/04/23/10-08-17/20-F.pdf</ns0:t>
        </ns0:is>
      </ns0:c>
      <ns0:c r="E194" s="16" t="inlineStr">
        <ns0:is>
          <ns0:t>披露</ns0:t>
        </ns0:is>
      </ns0:c>
    </ns0:row>
    <ns0:row r="195">
      <ns0:c r="A195" s="16" t="inlineStr">
        <ns0:is>
          <ns0:t>H12026_贸易应收净额</ns0:t>
        </ns0:is>
      </ns0:c>
      <ns0:c r="B195" s="41" t="n">
        <ns0:v>455765</ns0:v>
      </ns0:c>
      <ns0:c r="C195" s="16" t="inlineStr">
        <ns0:is>
          <ns0:t>人民币千元</ns0:t>
        </ns0:is>
      </ns0:c>
      <ns0:c r="D195" s="16" t="inlineStr">
        <ns0:is>
          <ns0:t>2026H1_interim PDF页49–50/48–49；66–67/65–66；https://www.hkexnews.hk/listedco/listconews/sehk/2026/0914/2026091401019.pdf</ns0:t>
        </ns0:is>
      </ns0:c>
      <ns0:c r="E195" s="16" t="inlineStr">
        <ns0:is>
          <ns0:t>披露</ns0:t>
        </ns0:is>
      </ns0:c>
    </ns0:row>
    <ns0:row r="196">
      <ns0:c r="A196" s="16" t="inlineStr">
        <ns0:is>
          <ns0:t>FY2022_合同资产净额</ns0:t>
        </ns0:is>
      </ns0:c>
      <ns0:c r="B196" s="41" t="n">
        <ns0:v>92597</ns0:v>
      </ns0:c>
      <ns0:c r="C196" s="16" t="inlineStr">
        <ns0:is>
          <ns0:t>人民币千元</ns0:t>
        </ns0:is>
      </ns0:c>
      <ns0:c r="D196" s="16" t="inlineStr">
        <ns0:is>
          <ns0:t>2024_US_424B4 PDF页281–282/F-5–6；https://ir.weride.ai/static-files/406cbf25-bb49-4020-b913-f9cca1283c6e</ns0:t>
        </ns0:is>
      </ns0:c>
      <ns0:c r="E196" s="16" t="inlineStr">
        <ns0:is>
          <ns0:t>披露</ns0:t>
        </ns0:is>
      </ns0:c>
    </ns0:row>
    <ns0:row r="197">
      <ns0:c r="A197" s="16" t="inlineStr">
        <ns0:is>
          <ns0:t>FY2023_合同资产净额</ns0:t>
        </ns0:is>
      </ns0:c>
      <ns0:c r="B197" s="41" t="n">
        <ns0:v>82826</ns0:v>
      </ns0:c>
      <ns0:c r="C197" s="16" t="inlineStr">
        <ns0:is>
          <ns0:t>人民币千元</ns0:t>
        </ns0:is>
      </ns0:c>
      <ns0:c r="D197" s="16" t="inlineStr">
        <ns0:is>
          <ns0:t>FY2024_20F PDF页171–172/F-5–6；https://ir.weride.ai/static-files/72a895d1-7999-4f63-9d97-476c54e7ecab</ns0:t>
        </ns0:is>
      </ns0:c>
      <ns0:c r="E197" s="16" t="inlineStr">
        <ns0:is>
          <ns0:t>披露</ns0:t>
        </ns0:is>
      </ns0:c>
    </ns0:row>
    <ns0:row r="198">
      <ns0:c r="A198" s="16" t="inlineStr">
        <ns0:is>
          <ns0:t>FY2024_合同资产净额</ns0:t>
        </ns0:is>
      </ns0:c>
      <ns0:c r="B198" s="41" t="n">
        <ns0:v>28005</ns0:v>
      </ns0:c>
      <ns0:c r="C198" s="16" t="inlineStr">
        <ns0:is>
          <ns0:t>人民币千元</ns0:t>
        </ns0:is>
      </ns0:c>
      <ns0:c r="D198" s="16" t="inlineStr">
        <ns0:is>
          <ns0:t>FY2025_20F PDF页173–174/F-6–7；https://ir.weride.ai/system/files-encrypted/nasdaq_kms/assets/2026/04/23/10-08-17/20-F.pdf</ns0:t>
        </ns0:is>
      </ns0:c>
      <ns0:c r="E198" s="16" t="inlineStr">
        <ns0:is>
          <ns0:t>披露</ns0:t>
        </ns0:is>
      </ns0:c>
    </ns0:row>
    <ns0:row r="199">
      <ns0:c r="A199" s="16" t="inlineStr">
        <ns0:is>
          <ns0:t>FY2025_合同资产净额</ns0:t>
        </ns0:is>
      </ns0:c>
      <ns0:c r="B199" s="41" t="n">
        <ns0:v>23305</ns0:v>
      </ns0:c>
      <ns0:c r="C199" s="16" t="inlineStr">
        <ns0:is>
          <ns0:t>人民币千元</ns0:t>
        </ns0:is>
      </ns0:c>
      <ns0:c r="D199" s="16" t="inlineStr">
        <ns0:is>
          <ns0:t>FY2025_20F PDF页173–174/F-6–7；https://ir.weride.ai/system/files-encrypted/nasdaq_kms/assets/2026/04/23/10-08-17/20-F.pdf</ns0:t>
        </ns0:is>
      </ns0:c>
      <ns0:c r="E199" s="16" t="inlineStr">
        <ns0:is>
          <ns0:t>披露</ns0:t>
        </ns0:is>
      </ns0:c>
    </ns0:row>
    <ns0:row r="200">
      <ns0:c r="A200" s="16" t="inlineStr">
        <ns0:is>
          <ns0:t>H12026_合同资产净额</ns0:t>
        </ns0:is>
      </ns0:c>
      <ns0:c r="B200" s="41" t="n">
        <ns0:v>23964</ns0:v>
      </ns0:c>
      <ns0:c r="C200" s="16" t="inlineStr">
        <ns0:is>
          <ns0:t>人民币千元</ns0:t>
        </ns0:is>
      </ns0:c>
      <ns0:c r="D200" s="16" t="inlineStr">
        <ns0:is>
          <ns0:t>2026H1_interim PDF页49–50/48–49；66–67/65–66；https://www.hkexnews.hk/listedco/listconews/sehk/2026/0914/2026091401019.pdf</ns0:t>
        </ns0:is>
      </ns0:c>
      <ns0:c r="E200" s="16" t="inlineStr">
        <ns0:is>
          <ns0:t>披露</ns0:t>
        </ns0:is>
      </ns0:c>
    </ns0:row>
    <ns0:row r="201">
      <ns0:c r="A201" s="16" t="inlineStr">
        <ns0:is>
          <ns0:t>FY2022_定期存款</ns0:t>
        </ns0:is>
      </ns0:c>
      <ns0:c r="B201" s="41" t="n">
        <ns0:v>1057292</ns0:v>
      </ns0:c>
      <ns0:c r="C201" s="16" t="inlineStr">
        <ns0:is>
          <ns0:t>人民币千元</ns0:t>
        </ns0:is>
      </ns0:c>
      <ns0:c r="D201" s="16" t="inlineStr">
        <ns0:is>
          <ns0:t>2024_US_424B4 PDF页281–282/F-5–6；https://ir.weride.ai/static-files/406cbf25-bb49-4020-b913-f9cca1283c6e</ns0:t>
        </ns0:is>
      </ns0:c>
      <ns0:c r="E201" s="16" t="inlineStr">
        <ns0:is>
          <ns0:t>披露</ns0:t>
        </ns0:is>
      </ns0:c>
    </ns0:row>
    <ns0:row r="202">
      <ns0:c r="A202" s="16" t="inlineStr">
        <ns0:is>
          <ns0:t>FY2023_定期存款</ns0:t>
        </ns0:is>
      </ns0:c>
      <ns0:c r="B202" s="41" t="n">
        <ns0:v>2550279</ns0:v>
      </ns0:c>
      <ns0:c r="C202" s="16" t="inlineStr">
        <ns0:is>
          <ns0:t>人民币千元</ns0:t>
        </ns0:is>
      </ns0:c>
      <ns0:c r="D202" s="16" t="inlineStr">
        <ns0:is>
          <ns0:t>FY2024_20F PDF页171–172/F-5–6；https://ir.weride.ai/static-files/72a895d1-7999-4f63-9d97-476c54e7ecab</ns0:t>
        </ns0:is>
      </ns0:c>
      <ns0:c r="E202" s="16" t="inlineStr">
        <ns0:is>
          <ns0:t>披露</ns0:t>
        </ns0:is>
      </ns0:c>
    </ns0:row>
    <ns0:row r="203">
      <ns0:c r="A203" s="16" t="inlineStr">
        <ns0:is>
          <ns0:t>FY2024_定期存款</ns0:t>
        </ns0:is>
      </ns0:c>
      <ns0:c r="B203" s="41" t="n">
        <ns0:v>620148</ns0:v>
      </ns0:c>
      <ns0:c r="C203" s="16" t="inlineStr">
        <ns0:is>
          <ns0:t>人民币千元</ns0:t>
        </ns0:is>
      </ns0:c>
      <ns0:c r="D203" s="16" t="inlineStr">
        <ns0:is>
          <ns0:t>FY2025_20F PDF页173–174/F-6–7；https://ir.weride.ai/system/files-encrypted/nasdaq_kms/assets/2026/04/23/10-08-17/20-F.pdf</ns0:t>
        </ns0:is>
      </ns0:c>
      <ns0:c r="E203" s="16" t="inlineStr">
        <ns0:is>
          <ns0:t>披露</ns0:t>
        </ns0:is>
      </ns0:c>
    </ns0:row>
    <ns0:row r="204">
      <ns0:c r="A204" s="16" t="inlineStr">
        <ns0:is>
          <ns0:t>FY2025_定期存款</ns0:t>
        </ns0:is>
      </ns0:c>
      <ns0:c r="B204" s="41" t="n">
        <ns0:v>301401</ns0:v>
      </ns0:c>
      <ns0:c r="C204" s="16" t="inlineStr">
        <ns0:is>
          <ns0:t>人民币千元</ns0:t>
        </ns0:is>
      </ns0:c>
      <ns0:c r="D204" s="16" t="inlineStr">
        <ns0:is>
          <ns0:t>FY2025_20F PDF页173–174/F-6–7；https://ir.weride.ai/system/files-encrypted/nasdaq_kms/assets/2026/04/23/10-08-17/20-F.pdf</ns0:t>
        </ns0:is>
      </ns0:c>
      <ns0:c r="E204" s="16" t="inlineStr">
        <ns0:is>
          <ns0:t>披露</ns0:t>
        </ns0:is>
      </ns0:c>
    </ns0:row>
    <ns0:row r="205">
      <ns0:c r="A205" s="16" t="inlineStr">
        <ns0:is>
          <ns0:t>H12026_定期存款</ns0:t>
        </ns0:is>
      </ns0:c>
      <ns0:c r="B205" s="41" t="n">
        <ns0:v>1099805</ns0:v>
      </ns0:c>
      <ns0:c r="C205" s="16" t="inlineStr">
        <ns0:is>
          <ns0:t>人民币千元</ns0:t>
        </ns0:is>
      </ns0:c>
      <ns0:c r="D205" s="16" t="inlineStr">
        <ns0:is>
          <ns0:t>2026H1_interim PDF页49–50/48–49；66–67/65–66；https://www.hkexnews.hk/listedco/listconews/sehk/2026/0914/2026091401019.pdf</ns0:t>
        </ns0:is>
      </ns0:c>
      <ns0:c r="E205" s="16" t="inlineStr">
        <ns0:is>
          <ns0:t>披露</ns0:t>
        </ns0:is>
      </ns0:c>
    </ns0:row>
    <ns0:row r="206">
      <ns0:c r="A206" s="16" t="inlineStr">
        <ns0:is>
          <ns0:t>FY2022_流动FVTPL</ns0:t>
        </ns0:is>
      </ns0:c>
      <ns0:c r="B206" s="41" t="n">
        <ns0:v>1218524</ns0:v>
      </ns0:c>
      <ns0:c r="C206" s="16" t="inlineStr">
        <ns0:is>
          <ns0:t>人民币千元</ns0:t>
        </ns0:is>
      </ns0:c>
      <ns0:c r="D206" s="16" t="inlineStr">
        <ns0:is>
          <ns0:t>2024_US_424B4 PDF页281–282/F-5–6；https://ir.weride.ai/static-files/406cbf25-bb49-4020-b913-f9cca1283c6e</ns0:t>
        </ns0:is>
      </ns0:c>
      <ns0:c r="E206" s="16" t="inlineStr">
        <ns0:is>
          <ns0:t>披露</ns0:t>
        </ns0:is>
      </ns0:c>
    </ns0:row>
    <ns0:row r="207">
      <ns0:c r="A207" s="16" t="inlineStr">
        <ns0:is>
          <ns0:t>FY2023_流动FVTPL</ns0:t>
        </ns0:is>
      </ns0:c>
      <ns0:c r="B207" s="41" t="n">
        <ns0:v>317042</ns0:v>
      </ns0:c>
      <ns0:c r="C207" s="16" t="inlineStr">
        <ns0:is>
          <ns0:t>人民币千元</ns0:t>
        </ns0:is>
      </ns0:c>
      <ns0:c r="D207" s="16" t="inlineStr">
        <ns0:is>
          <ns0:t>FY2024_20F PDF页171–172/F-5–6；https://ir.weride.ai/static-files/72a895d1-7999-4f63-9d97-476c54e7ecab</ns0:t>
        </ns0:is>
      </ns0:c>
      <ns0:c r="E207" s="16" t="inlineStr">
        <ns0:is>
          <ns0:t>披露</ns0:t>
        </ns0:is>
      </ns0:c>
    </ns0:row>
    <ns0:row r="208">
      <ns0:c r="A208" s="16" t="inlineStr">
        <ns0:is>
          <ns0:t>FY2024_流动FVTPL</ns0:t>
        </ns0:is>
      </ns0:c>
      <ns0:c r="B208" s="41" t="n">
        <ns0:v>1685146</ns0:v>
      </ns0:c>
      <ns0:c r="C208" s="16" t="inlineStr">
        <ns0:is>
          <ns0:t>人民币千元</ns0:t>
        </ns0:is>
      </ns0:c>
      <ns0:c r="D208" s="16" t="inlineStr">
        <ns0:is>
          <ns0:t>FY2025_20F PDF页173–174/F-6–7；https://ir.weride.ai/system/files-encrypted/nasdaq_kms/assets/2026/04/23/10-08-17/20-F.pdf</ns0:t>
        </ns0:is>
      </ns0:c>
      <ns0:c r="E208" s="16" t="inlineStr">
        <ns0:is>
          <ns0:t>披露</ns0:t>
        </ns0:is>
      </ns0:c>
    </ns0:row>
    <ns0:row r="209">
      <ns0:c r="A209" s="16" t="inlineStr">
        <ns0:is>
          <ns0:t>FY2025_流动FVTPL</ns0:t>
        </ns0:is>
      </ns0:c>
      <ns0:c r="B209" s="41" t="n">
        <ns0:v>144252</ns0:v>
      </ns0:c>
      <ns0:c r="C209" s="16" t="inlineStr">
        <ns0:is>
          <ns0:t>人民币千元</ns0:t>
        </ns0:is>
      </ns0:c>
      <ns0:c r="D209" s="16" t="inlineStr">
        <ns0:is>
          <ns0:t>FY2025_20F PDF页173–174/F-6–7；https://ir.weride.ai/system/files-encrypted/nasdaq_kms/assets/2026/04/23/10-08-17/20-F.pdf</ns0:t>
        </ns0:is>
      </ns0:c>
      <ns0:c r="E209" s="16" t="inlineStr">
        <ns0:is>
          <ns0:t>披露</ns0:t>
        </ns0:is>
      </ns0:c>
    </ns0:row>
    <ns0:row r="210">
      <ns0:c r="A210" s="16" t="inlineStr">
        <ns0:is>
          <ns0:t>H12026_流动FVTPL</ns0:t>
        </ns0:is>
      </ns0:c>
      <ns0:c r="B210" s="41" t="n">
        <ns0:v>2293</ns0:v>
      </ns0:c>
      <ns0:c r="C210" s="16" t="inlineStr">
        <ns0:is>
          <ns0:t>人民币千元</ns0:t>
        </ns0:is>
      </ns0:c>
      <ns0:c r="D210" s="16" t="inlineStr">
        <ns0:is>
          <ns0:t>2026H1_interim PDF页49–50/48–49；66–67/65–66；https://www.hkexnews.hk/listedco/listconews/sehk/2026/0914/2026091401019.pdf</ns0:t>
        </ns0:is>
      </ns0:c>
      <ns0:c r="E210" s="16" t="inlineStr">
        <ns0:is>
          <ns0:t>披露</ns0:t>
        </ns0:is>
      </ns0:c>
    </ns0:row>
    <ns0:row r="211">
      <ns0:c r="A211" s="16" t="inlineStr">
        <ns0:is>
          <ns0:t>FY2023_非流动FVTPL</ns0:t>
        </ns0:is>
      </ns0:c>
      <ns0:c r="B211" s="41" t="n">
        <ns0:v>0</ns0:v>
      </ns0:c>
      <ns0:c r="C211" s="16" t="inlineStr">
        <ns0:is>
          <ns0:t>人民币千元</ns0:t>
        </ns0:is>
      </ns0:c>
      <ns0:c r="D211" s="16" t="inlineStr">
        <ns0:is>
          <ns0:t>FY2024_20F PDF页171–172/F-5–6；https://ir.weride.ai/static-files/72a895d1-7999-4f63-9d97-476c54e7ecab</ns0:t>
        </ns0:is>
      </ns0:c>
      <ns0:c r="E211" s="16" t="inlineStr">
        <ns0:is>
          <ns0:t>披露</ns0:t>
        </ns0:is>
      </ns0:c>
    </ns0:row>
    <ns0:row r="212">
      <ns0:c r="A212" s="16" t="inlineStr">
        <ns0:is>
          <ns0:t>FY2024_非流动FVTPL</ns0:t>
        </ns0:is>
      </ns0:c>
      <ns0:c r="B212" s="41" t="n">
        <ns0:v>56919</ns0:v>
      </ns0:c>
      <ns0:c r="C212" s="16" t="inlineStr">
        <ns0:is>
          <ns0:t>人民币千元</ns0:t>
        </ns0:is>
      </ns0:c>
      <ns0:c r="D212" s="16" t="inlineStr">
        <ns0:is>
          <ns0:t>FY2025_20F PDF页173–174/F-6–7；https://ir.weride.ai/system/files-encrypted/nasdaq_kms/assets/2026/04/23/10-08-17/20-F.pdf</ns0:t>
        </ns0:is>
      </ns0:c>
      <ns0:c r="E212" s="16" t="inlineStr">
        <ns0:is>
          <ns0:t>披露</ns0:t>
        </ns0:is>
      </ns0:c>
    </ns0:row>
    <ns0:row r="213">
      <ns0:c r="A213" s="16" t="inlineStr">
        <ns0:is>
          <ns0:t>FY2025_非流动FVTPL</ns0:t>
        </ns0:is>
      </ns0:c>
      <ns0:c r="B213" s="41" t="n">
        <ns0:v>188083</ns0:v>
      </ns0:c>
      <ns0:c r="C213" s="16" t="inlineStr">
        <ns0:is>
          <ns0:t>人民币千元</ns0:t>
        </ns0:is>
      </ns0:c>
      <ns0:c r="D213" s="16" t="inlineStr">
        <ns0:is>
          <ns0:t>FY2025_20F PDF页173–174/F-6–7；https://ir.weride.ai/system/files-encrypted/nasdaq_kms/assets/2026/04/23/10-08-17/20-F.pdf</ns0:t>
        </ns0:is>
      </ns0:c>
      <ns0:c r="E213" s="16" t="inlineStr">
        <ns0:is>
          <ns0:t>披露</ns0:t>
        </ns0:is>
      </ns0:c>
    </ns0:row>
    <ns0:row r="214">
      <ns0:c r="A214" s="16" t="inlineStr">
        <ns0:is>
          <ns0:t>H12026_非流动FVTPL</ns0:t>
        </ns0:is>
      </ns0:c>
      <ns0:c r="B214" s="41" t="n">
        <ns0:v>252411</ns0:v>
      </ns0:c>
      <ns0:c r="C214" s="16" t="inlineStr">
        <ns0:is>
          <ns0:t>人民币千元</ns0:t>
        </ns0:is>
      </ns0:c>
      <ns0:c r="D214" s="16" t="inlineStr">
        <ns0:is>
          <ns0:t>2026H1_interim PDF页49–50/48–49；66–67/65–66；https://www.hkexnews.hk/listedco/listconews/sehk/2026/0914/2026091401019.pdf</ns0:t>
        </ns0:is>
      </ns0:c>
      <ns0:c r="E214" s="16" t="inlineStr">
        <ns0:is>
          <ns0:t>披露</ns0:t>
        </ns0:is>
      </ns0:c>
    </ns0:row>
    <ns0:row r="215">
      <ns0:c r="A215" s="16" t="inlineStr">
        <ns0:is>
          <ns0:t>FY2022_受限现金流动</ns0:t>
        </ns0:is>
      </ns0:c>
      <ns0:c r="B215" s="41" t="n">
        <ns0:v>1393</ns0:v>
      </ns0:c>
      <ns0:c r="C215" s="16" t="inlineStr">
        <ns0:is>
          <ns0:t>人民币千元</ns0:t>
        </ns0:is>
      </ns0:c>
      <ns0:c r="D215" s="16" t="inlineStr">
        <ns0:is>
          <ns0:t>2024_US_424B4 PDF页281–282/F-5–6；https://ir.weride.ai/static-files/406cbf25-bb49-4020-b913-f9cca1283c6e</ns0:t>
        </ns0:is>
      </ns0:c>
      <ns0:c r="E215" s="16" t="inlineStr">
        <ns0:is>
          <ns0:t>披露</ns0:t>
        </ns0:is>
      </ns0:c>
    </ns0:row>
    <ns0:row r="216">
      <ns0:c r="A216" s="16" t="inlineStr">
        <ns0:is>
          <ns0:t>FY2023_受限现金流动</ns0:t>
        </ns0:is>
      </ns0:c>
      <ns0:c r="B216" s="41" t="n">
        <ns0:v>10194</ns0:v>
      </ns0:c>
      <ns0:c r="C216" s="16" t="inlineStr">
        <ns0:is>
          <ns0:t>人民币千元</ns0:t>
        </ns0:is>
      </ns0:c>
      <ns0:c r="D216" s="16" t="inlineStr">
        <ns0:is>
          <ns0:t>FY2024_20F PDF页171–172/F-5–6；https://ir.weride.ai/static-files/72a895d1-7999-4f63-9d97-476c54e7ecab</ns0:t>
        </ns0:is>
      </ns0:c>
      <ns0:c r="E216" s="16" t="inlineStr">
        <ns0:is>
          <ns0:t>披露</ns0:t>
        </ns0:is>
      </ns0:c>
    </ns0:row>
    <ns0:row r="217">
      <ns0:c r="A217" s="16" t="inlineStr">
        <ns0:is>
          <ns0:t>FY2024_受限现金流动</ns0:t>
        </ns0:is>
      </ns0:c>
      <ns0:c r="B217" s="41" t="n">
        <ns0:v>4814</ns0:v>
      </ns0:c>
      <ns0:c r="C217" s="16" t="inlineStr">
        <ns0:is>
          <ns0:t>人民币千元</ns0:t>
        </ns0:is>
      </ns0:c>
      <ns0:c r="D217" s="16" t="inlineStr">
        <ns0:is>
          <ns0:t>FY2025_20F PDF页173–174/F-6–7；https://ir.weride.ai/system/files-encrypted/nasdaq_kms/assets/2026/04/23/10-08-17/20-F.pdf</ns0:t>
        </ns0:is>
      </ns0:c>
      <ns0:c r="E217" s="16" t="inlineStr">
        <ns0:is>
          <ns0:t>披露</ns0:t>
        </ns0:is>
      </ns0:c>
    </ns0:row>
    <ns0:row r="218">
      <ns0:c r="A218" s="16" t="inlineStr">
        <ns0:is>
          <ns0:t>FY2025_受限现金流动</ns0:t>
        </ns0:is>
      </ns0:c>
      <ns0:c r="B218" s="41" t="n">
        <ns0:v>12910</ns0:v>
      </ns0:c>
      <ns0:c r="C218" s="16" t="inlineStr">
        <ns0:is>
          <ns0:t>人民币千元</ns0:t>
        </ns0:is>
      </ns0:c>
      <ns0:c r="D218" s="16" t="inlineStr">
        <ns0:is>
          <ns0:t>FY2025_20F PDF页173–174/F-6–7；https://ir.weride.ai/system/files-encrypted/nasdaq_kms/assets/2026/04/23/10-08-17/20-F.pdf</ns0:t>
        </ns0:is>
      </ns0:c>
      <ns0:c r="E218" s="16" t="inlineStr">
        <ns0:is>
          <ns0:t>披露</ns0:t>
        </ns0:is>
      </ns0:c>
    </ns0:row>
    <ns0:row r="219">
      <ns0:c r="A219" s="16" t="inlineStr">
        <ns0:is>
          <ns0:t>H12026_受限现金流动</ns0:t>
        </ns0:is>
      </ns0:c>
      <ns0:c r="B219" s="41" t="n">
        <ns0:v>10420</ns0:v>
      </ns0:c>
      <ns0:c r="C219" s="16" t="inlineStr">
        <ns0:is>
          <ns0:t>人民币千元</ns0:t>
        </ns0:is>
      </ns0:c>
      <ns0:c r="D219" s="16" t="inlineStr">
        <ns0:is>
          <ns0:t>2026H1_interim PDF页49–50/48–49；66–67/65–66；https://www.hkexnews.hk/listedco/listconews/sehk/2026/0914/2026091401019.pdf</ns0:t>
        </ns0:is>
      </ns0:c>
      <ns0:c r="E219" s="16" t="inlineStr">
        <ns0:is>
          <ns0:t>披露</ns0:t>
        </ns0:is>
      </ns0:c>
    </ns0:row>
    <ns0:row r="220">
      <ns0:c r="A220" s="16" t="inlineStr">
        <ns0:is>
          <ns0:t>FY2022_受限现金非流动</ns0:t>
        </ns0:is>
      </ns0:c>
      <ns0:c r="B220" s="41" t="n">
        <ns0:v>11004</ns0:v>
      </ns0:c>
      <ns0:c r="C220" s="16" t="inlineStr">
        <ns0:is>
          <ns0:t>人民币千元</ns0:t>
        </ns0:is>
      </ns0:c>
      <ns0:c r="D220" s="16" t="inlineStr">
        <ns0:is>
          <ns0:t>2024_US_424B4 PDF页281–282/F-5–6；https://ir.weride.ai/static-files/406cbf25-bb49-4020-b913-f9cca1283c6e</ns0:t>
        </ns0:is>
      </ns0:c>
      <ns0:c r="E220" s="16" t="inlineStr">
        <ns0:is>
          <ns0:t>披露</ns0:t>
        </ns0:is>
      </ns0:c>
    </ns0:row>
    <ns0:row r="221">
      <ns0:c r="A221" s="16" t="inlineStr">
        <ns0:is>
          <ns0:t>FY2023_受限现金非流动</ns0:t>
        </ns0:is>
      </ns0:c>
      <ns0:c r="B221" s="41" t="n">
        <ns0:v>1575</ns0:v>
      </ns0:c>
      <ns0:c r="C221" s="16" t="inlineStr">
        <ns0:is>
          <ns0:t>人民币千元</ns0:t>
        </ns0:is>
      </ns0:c>
      <ns0:c r="D221" s="16" t="inlineStr">
        <ns0:is>
          <ns0:t>FY2024_20F PDF页171–172/F-5–6；https://ir.weride.ai/static-files/72a895d1-7999-4f63-9d97-476c54e7ecab</ns0:t>
        </ns0:is>
      </ns0:c>
      <ns0:c r="E221" s="16" t="inlineStr">
        <ns0:is>
          <ns0:t>披露</ns0:t>
        </ns0:is>
      </ns0:c>
    </ns0:row>
    <ns0:row r="222">
      <ns0:c r="A222" s="16" t="inlineStr">
        <ns0:is>
          <ns0:t>FY2024_受限现金非流动</ns0:t>
        </ns0:is>
      </ns0:c>
      <ns0:c r="B222" s="41" t="n">
        <ns0:v>9669</ns0:v>
      </ns0:c>
      <ns0:c r="C222" s="16" t="inlineStr">
        <ns0:is>
          <ns0:t>人民币千元</ns0:t>
        </ns0:is>
      </ns0:c>
      <ns0:c r="D222" s="16" t="inlineStr">
        <ns0:is>
          <ns0:t>FY2025_20F PDF页173–174/F-6–7；https://ir.weride.ai/system/files-encrypted/nasdaq_kms/assets/2026/04/23/10-08-17/20-F.pdf</ns0:t>
        </ns0:is>
      </ns0:c>
      <ns0:c r="E222" s="16" t="inlineStr">
        <ns0:is>
          <ns0:t>披露</ns0:t>
        </ns0:is>
      </ns0:c>
    </ns0:row>
    <ns0:row r="223">
      <ns0:c r="A223" s="16" t="inlineStr">
        <ns0:is>
          <ns0:t>FY2025_受限现金非流动</ns0:t>
        </ns0:is>
      </ns0:c>
      <ns0:c r="B223" s="41" t="n">
        <ns0:v>6487</ns0:v>
      </ns0:c>
      <ns0:c r="C223" s="16" t="inlineStr">
        <ns0:is>
          <ns0:t>人民币千元</ns0:t>
        </ns0:is>
      </ns0:c>
      <ns0:c r="D223" s="16" t="inlineStr">
        <ns0:is>
          <ns0:t>FY2025_20F PDF页173–174/F-6–7；https://ir.weride.ai/system/files-encrypted/nasdaq_kms/assets/2026/04/23/10-08-17/20-F.pdf</ns0:t>
        </ns0:is>
      </ns0:c>
      <ns0:c r="E223" s="16" t="inlineStr">
        <ns0:is>
          <ns0:t>披露</ns0:t>
        </ns0:is>
      </ns0:c>
    </ns0:row>
    <ns0:row r="224">
      <ns0:c r="A224" s="16" t="inlineStr">
        <ns0:is>
          <ns0:t>H12026_受限现金非流动</ns0:t>
        </ns0:is>
      </ns0:c>
      <ns0:c r="B224" s="41" t="n">
        <ns0:v>10988</ns0:v>
      </ns0:c>
      <ns0:c r="C224" s="16" t="inlineStr">
        <ns0:is>
          <ns0:t>人民币千元</ns0:t>
        </ns0:is>
      </ns0:c>
      <ns0:c r="D224" s="16" t="inlineStr">
        <ns0:is>
          <ns0:t>2026H1_interim PDF页49–50/48–49；66–67/65–66；https://www.hkexnews.hk/listedco/listconews/sehk/2026/0914/2026091401019.pdf</ns0:t>
        </ns0:is>
      </ns0:c>
      <ns0:c r="E224" s="16" t="inlineStr">
        <ns0:is>
          <ns0:t>披露</ns0:t>
        </ns0:is>
      </ns0:c>
    </ns0:row>
    <ns0:row r="225">
      <ns0:c r="A225" s="16" t="inlineStr">
        <ns0:is>
          <ns0:t>FY2022_存货</ns0:t>
        </ns0:is>
      </ns0:c>
      <ns0:c r="B225" s="41" t="n">
        <ns0:v>156005</ns0:v>
      </ns0:c>
      <ns0:c r="C225" s="16" t="inlineStr">
        <ns0:is>
          <ns0:t>人民币千元</ns0:t>
        </ns0:is>
      </ns0:c>
      <ns0:c r="D225" s="16" t="inlineStr">
        <ns0:is>
          <ns0:t>2024_US_424B4 PDF页281–282/F-5–6；https://ir.weride.ai/static-files/406cbf25-bb49-4020-b913-f9cca1283c6e</ns0:t>
        </ns0:is>
      </ns0:c>
      <ns0:c r="E225" s="16" t="inlineStr">
        <ns0:is>
          <ns0:t>披露</ns0:t>
        </ns0:is>
      </ns0:c>
    </ns0:row>
    <ns0:row r="226">
      <ns0:c r="A226" s="16" t="inlineStr">
        <ns0:is>
          <ns0:t>FY2023_存货</ns0:t>
        </ns0:is>
      </ns0:c>
      <ns0:c r="B226" s="41" t="n">
        <ns0:v>218220</ns0:v>
      </ns0:c>
      <ns0:c r="C226" s="16" t="inlineStr">
        <ns0:is>
          <ns0:t>人民币千元</ns0:t>
        </ns0:is>
      </ns0:c>
      <ns0:c r="D226" s="16" t="inlineStr">
        <ns0:is>
          <ns0:t>FY2024_20F PDF页171–172/F-5–6；https://ir.weride.ai/static-files/72a895d1-7999-4f63-9d97-476c54e7ecab</ns0:t>
        </ns0:is>
      </ns0:c>
      <ns0:c r="E226" s="16" t="inlineStr">
        <ns0:is>
          <ns0:t>披露</ns0:t>
        </ns0:is>
      </ns0:c>
    </ns0:row>
    <ns0:row r="227">
      <ns0:c r="A227" s="16" t="inlineStr">
        <ns0:is>
          <ns0:t>FY2024_存货</ns0:t>
        </ns0:is>
      </ns0:c>
      <ns0:c r="B227" s="41" t="n">
        <ns0:v>204705</ns0:v>
      </ns0:c>
      <ns0:c r="C227" s="16" t="inlineStr">
        <ns0:is>
          <ns0:t>人民币千元</ns0:t>
        </ns0:is>
      </ns0:c>
      <ns0:c r="D227" s="16" t="inlineStr">
        <ns0:is>
          <ns0:t>FY2025_20F PDF页173–174/F-6–7；https://ir.weride.ai/system/files-encrypted/nasdaq_kms/assets/2026/04/23/10-08-17/20-F.pdf</ns0:t>
        </ns0:is>
      </ns0:c>
      <ns0:c r="E227" s="16" t="inlineStr">
        <ns0:is>
          <ns0:t>披露</ns0:t>
        </ns0:is>
      </ns0:c>
    </ns0:row>
    <ns0:row r="228">
      <ns0:c r="A228" s="16" t="inlineStr">
        <ns0:is>
          <ns0:t>FY2025_存货</ns0:t>
        </ns0:is>
      </ns0:c>
      <ns0:c r="B228" s="41" t="n">
        <ns0:v>321021</ns0:v>
      </ns0:c>
      <ns0:c r="C228" s="16" t="inlineStr">
        <ns0:is>
          <ns0:t>人民币千元</ns0:t>
        </ns0:is>
      </ns0:c>
      <ns0:c r="D228" s="16" t="inlineStr">
        <ns0:is>
          <ns0:t>FY2025_20F PDF页173–174/F-6–7；https://ir.weride.ai/system/files-encrypted/nasdaq_kms/assets/2026/04/23/10-08-17/20-F.pdf</ns0:t>
        </ns0:is>
      </ns0:c>
      <ns0:c r="E228" s="16" t="inlineStr">
        <ns0:is>
          <ns0:t>披露</ns0:t>
        </ns0:is>
      </ns0:c>
    </ns0:row>
    <ns0:row r="229">
      <ns0:c r="A229" s="16" t="inlineStr">
        <ns0:is>
          <ns0:t>H12026_存货</ns0:t>
        </ns0:is>
      </ns0:c>
      <ns0:c r="B229" s="41" t="n">
        <ns0:v>439112</ns0:v>
      </ns0:c>
      <ns0:c r="C229" s="16" t="inlineStr">
        <ns0:is>
          <ns0:t>人民币千元</ns0:t>
        </ns0:is>
      </ns0:c>
      <ns0:c r="D229" s="16" t="inlineStr">
        <ns0:is>
          <ns0:t>2026H1_interim PDF页49–50/48–49；66–67/65–66；https://www.hkexnews.hk/listedco/listconews/sehk/2026/0914/2026091401019.pdf</ns0:t>
        </ns0:is>
      </ns0:c>
      <ns0:c r="E229" s="16" t="inlineStr">
        <ns0:is>
          <ns0:t>披露</ns0:t>
        </ns0:is>
      </ns0:c>
    </ns0:row>
    <ns0:row r="230">
      <ns0:c r="A230" s="16" t="inlineStr">
        <ns0:is>
          <ns0:t>FY2022_总负债</ns0:t>
        </ns0:is>
      </ns0:c>
      <ns0:c r="B230" s="41" t="n">
        <ns0:v>7467507</ns0:v>
      </ns0:c>
      <ns0:c r="C230" s="16" t="inlineStr">
        <ns0:is>
          <ns0:t>人民币千元</ns0:t>
        </ns0:is>
      </ns0:c>
      <ns0:c r="D230" s="16" t="inlineStr">
        <ns0:is>
          <ns0:t>2024_US_424B4 PDF页281–282/F-5–6；https://ir.weride.ai/static-files/406cbf25-bb49-4020-b913-f9cca1283c6e</ns0:t>
        </ns0:is>
      </ns0:c>
      <ns0:c r="E230" s="16" t="inlineStr">
        <ns0:is>
          <ns0:t>披露</ns0:t>
        </ns0:is>
      </ns0:c>
    </ns0:row>
    <ns0:row r="231">
      <ns0:c r="A231" s="16" t="inlineStr">
        <ns0:is>
          <ns0:t>FY2023_总负债</ns0:t>
        </ns0:is>
      </ns0:c>
      <ns0:c r="B231" s="41" t="n">
        <ns0:v>8666176</ns0:v>
      </ns0:c>
      <ns0:c r="C231" s="16" t="inlineStr">
        <ns0:is>
          <ns0:t>人民币千元</ns0:t>
        </ns0:is>
      </ns0:c>
      <ns0:c r="D231" s="16" t="inlineStr">
        <ns0:is>
          <ns0:t>FY2024_20F PDF页171–172/F-5–6；https://ir.weride.ai/static-files/72a895d1-7999-4f63-9d97-476c54e7ecab</ns0:t>
        </ns0:is>
      </ns0:c>
      <ns0:c r="E231" s="16" t="inlineStr">
        <ns0:is>
          <ns0:t>披露</ns0:t>
        </ns0:is>
      </ns0:c>
    </ns0:row>
    <ns0:row r="232">
      <ns0:c r="A232" s="16" t="inlineStr">
        <ns0:is>
          <ns0:t>FY2024_总负债</ns0:t>
        </ns0:is>
      </ns0:c>
      <ns0:c r="B232" s="41" t="n">
        <ns0:v>627751</ns0:v>
      </ns0:c>
      <ns0:c r="C232" s="16" t="inlineStr">
        <ns0:is>
          <ns0:t>人民币千元</ns0:t>
        </ns0:is>
      </ns0:c>
      <ns0:c r="D232" s="16" t="inlineStr">
        <ns0:is>
          <ns0:t>FY2025_20F PDF页173–174/F-6–7；https://ir.weride.ai/system/files-encrypted/nasdaq_kms/assets/2026/04/23/10-08-17/20-F.pdf</ns0:t>
        </ns0:is>
      </ns0:c>
      <ns0:c r="E232" s="16" t="inlineStr">
        <ns0:is>
          <ns0:t>披露</ns0:t>
        </ns0:is>
      </ns0:c>
    </ns0:row>
    <ns0:row r="233">
      <ns0:c r="A233" s="16" t="inlineStr">
        <ns0:is>
          <ns0:t>FY2025_总负债</ns0:t>
        </ns0:is>
      </ns0:c>
      <ns0:c r="B233" s="41" t="n">
        <ns0:v>1035751</ns0:v>
      </ns0:c>
      <ns0:c r="C233" s="16" t="inlineStr">
        <ns0:is>
          <ns0:t>人民币千元</ns0:t>
        </ns0:is>
      </ns0:c>
      <ns0:c r="D233" s="16" t="inlineStr">
        <ns0:is>
          <ns0:t>FY2025_20F PDF页173–174/F-6–7；https://ir.weride.ai/system/files-encrypted/nasdaq_kms/assets/2026/04/23/10-08-17/20-F.pdf</ns0:t>
        </ns0:is>
      </ns0:c>
      <ns0:c r="E233" s="16" t="inlineStr">
        <ns0:is>
          <ns0:t>披露</ns0:t>
        </ns0:is>
      </ns0:c>
    </ns0:row>
    <ns0:row r="234">
      <ns0:c r="A234" s="16" t="inlineStr">
        <ns0:is>
          <ns0:t>H12026_总负债</ns0:t>
        </ns0:is>
      </ns0:c>
      <ns0:c r="B234" s="41" t="n">
        <ns0:v>1360114</ns0:v>
      </ns0:c>
      <ns0:c r="C234" s="16" t="inlineStr">
        <ns0:is>
          <ns0:t>人民币千元</ns0:t>
        </ns0:is>
      </ns0:c>
      <ns0:c r="D234" s="16" t="inlineStr">
        <ns0:is>
          <ns0:t>2026H1_interim PDF页49–50/48–49；66–67/65–66；https://www.hkexnews.hk/listedco/listconews/sehk/2026/0914/2026091401019.pdf</ns0:t>
        </ns0:is>
      </ns0:c>
      <ns0:c r="E234" s="16" t="inlineStr">
        <ns0:is>
          <ns0:t>披露</ns0:t>
        </ns0:is>
      </ns0:c>
    </ns0:row>
    <ns0:row r="235">
      <ns0:c r="A235" s="16" t="inlineStr">
        <ns0:is>
          <ns0:t>FY2022_流动资产</ns0:t>
        </ns0:is>
      </ns0:c>
      <ns0:c r="B235" s="41" t="n">
        <ns0:v>5073473</ns0:v>
      </ns0:c>
      <ns0:c r="C235" s="16" t="inlineStr">
        <ns0:is>
          <ns0:t>人民币千元</ns0:t>
        </ns0:is>
      </ns0:c>
      <ns0:c r="D235" s="16" t="inlineStr">
        <ns0:is>
          <ns0:t>2024_US_424B4 PDF页281–282/F-5–6；https://ir.weride.ai/static-files/406cbf25-bb49-4020-b913-f9cca1283c6e</ns0:t>
        </ns0:is>
      </ns0:c>
      <ns0:c r="E235" s="16" t="inlineStr">
        <ns0:is>
          <ns0:t>披露</ns0:t>
        </ns0:is>
      </ns0:c>
    </ns0:row>
    <ns0:row r="236">
      <ns0:c r="A236" s="16" t="inlineStr">
        <ns0:is>
          <ns0:t>FY2023_流动资产</ns0:t>
        </ns0:is>
      </ns0:c>
      <ns0:c r="B236" s="41" t="n">
        <ns0:v>5370023</ns0:v>
      </ns0:c>
      <ns0:c r="C236" s="16" t="inlineStr">
        <ns0:is>
          <ns0:t>人民币千元</ns0:t>
        </ns0:is>
      </ns0:c>
      <ns0:c r="D236" s="16" t="inlineStr">
        <ns0:is>
          <ns0:t>FY2024_20F PDF页171–172/F-5–6；https://ir.weride.ai/static-files/72a895d1-7999-4f63-9d97-476c54e7ecab</ns0:t>
        </ns0:is>
      </ns0:c>
      <ns0:c r="E236" s="16" t="inlineStr">
        <ns0:is>
          <ns0:t>披露</ns0:t>
        </ns0:is>
      </ns0:c>
    </ns0:row>
    <ns0:row r="237">
      <ns0:c r="A237" s="16" t="inlineStr">
        <ns0:is>
          <ns0:t>FY2024_流动资产</ns0:t>
        </ns0:is>
      </ns0:c>
      <ns0:c r="B237" s="41" t="n">
        <ns0:v>7287995</ns0:v>
      </ns0:c>
      <ns0:c r="C237" s="16" t="inlineStr">
        <ns0:is>
          <ns0:t>人民币千元</ns0:t>
        </ns0:is>
      </ns0:c>
      <ns0:c r="D237" s="16" t="inlineStr">
        <ns0:is>
          <ns0:t>FY2025_20F PDF页173–174/F-6–7；https://ir.weride.ai/system/files-encrypted/nasdaq_kms/assets/2026/04/23/10-08-17/20-F.pdf</ns0:t>
        </ns0:is>
      </ns0:c>
      <ns0:c r="E237" s="16" t="inlineStr">
        <ns0:is>
          <ns0:t>披露</ns0:t>
        </ns0:is>
      </ns0:c>
    </ns0:row>
    <ns0:row r="238">
      <ns0:c r="A238" s="16" t="inlineStr">
        <ns0:is>
          <ns0:t>FY2025_流动资产</ns0:t>
        </ns0:is>
      </ns0:c>
      <ns0:c r="B238" s="41" t="n">
        <ns0:v>8210324</ns0:v>
      </ns0:c>
      <ns0:c r="C238" s="16" t="inlineStr">
        <ns0:is>
          <ns0:t>人民币千元</ns0:t>
        </ns0:is>
      </ns0:c>
      <ns0:c r="D238" s="16" t="inlineStr">
        <ns0:is>
          <ns0:t>FY2025_20F PDF页173–174/F-6–7；https://ir.weride.ai/system/files-encrypted/nasdaq_kms/assets/2026/04/23/10-08-17/20-F.pdf</ns0:t>
        </ns0:is>
      </ns0:c>
      <ns0:c r="E238" s="16" t="inlineStr">
        <ns0:is>
          <ns0:t>披露</ns0:t>
        </ns0:is>
      </ns0:c>
    </ns0:row>
    <ns0:row r="239">
      <ns0:c r="A239" s="16" t="inlineStr">
        <ns0:is>
          <ns0:t>H12026_流动资产</ns0:t>
        </ns0:is>
      </ns0:c>
      <ns0:c r="B239" s="41" t="n">
        <ns0:v>6628076</ns0:v>
      </ns0:c>
      <ns0:c r="C239" s="16" t="inlineStr">
        <ns0:is>
          <ns0:t>人民币千元</ns0:t>
        </ns0:is>
      </ns0:c>
      <ns0:c r="D239" s="16" t="inlineStr">
        <ns0:is>
          <ns0:t>2026H1_interim PDF页49–50/48–49；66–67/65–66；https://www.hkexnews.hk/listedco/listconews/sehk/2026/0914/2026091401019.pdf</ns0:t>
        </ns0:is>
      </ns0:c>
      <ns0:c r="E239" s="16" t="inlineStr">
        <ns0:is>
          <ns0:t>披露</ns0:t>
        </ns0:is>
      </ns0:c>
    </ns0:row>
    <ns0:row r="240">
      <ns0:c r="A240" s="16" t="inlineStr">
        <ns0:is>
          <ns0:t>FY2023_流动负债</ns0:t>
        </ns0:is>
      </ns0:c>
      <ns0:c r="B240" s="41" t="n">
        <ns0:v>8591413</ns0:v>
      </ns0:c>
      <ns0:c r="C240" s="16" t="inlineStr">
        <ns0:is>
          <ns0:t>人民币千元</ns0:t>
        </ns0:is>
      </ns0:c>
      <ns0:c r="D240" s="16" t="inlineStr">
        <ns0:is>
          <ns0:t>FY2024_20F PDF页171–172/F-5–6；https://ir.weride.ai/static-files/72a895d1-7999-4f63-9d97-476c54e7ecab</ns0:t>
        </ns0:is>
      </ns0:c>
      <ns0:c r="E240" s="16" t="inlineStr">
        <ns0:is>
          <ns0:t>披露</ns0:t>
        </ns0:is>
      </ns0:c>
    </ns0:row>
    <ns0:row r="241">
      <ns0:c r="A241" s="16" t="inlineStr">
        <ns0:is>
          <ns0:t>FY2024_流动负债</ns0:t>
        </ns0:is>
      </ns0:c>
      <ns0:c r="B241" s="41" t="n">
        <ns0:v>542489</ns0:v>
      </ns0:c>
      <ns0:c r="C241" s="16" t="inlineStr">
        <ns0:is>
          <ns0:t>人民币千元</ns0:t>
        </ns0:is>
      </ns0:c>
      <ns0:c r="D241" s="16" t="inlineStr">
        <ns0:is>
          <ns0:t>FY2025_20F PDF页173–174/F-6–7；https://ir.weride.ai/system/files-encrypted/nasdaq_kms/assets/2026/04/23/10-08-17/20-F.pdf</ns0:t>
        </ns0:is>
      </ns0:c>
      <ns0:c r="E241" s="16" t="inlineStr">
        <ns0:is>
          <ns0:t>披露</ns0:t>
        </ns0:is>
      </ns0:c>
    </ns0:row>
    <ns0:row r="242">
      <ns0:c r="A242" s="16" t="inlineStr">
        <ns0:is>
          <ns0:t>FY2025_流动负债</ns0:t>
        </ns0:is>
      </ns0:c>
      <ns0:c r="B242" s="41" t="n">
        <ns0:v>1001301</ns0:v>
      </ns0:c>
      <ns0:c r="C242" s="16" t="inlineStr">
        <ns0:is>
          <ns0:t>人民币千元</ns0:t>
        </ns0:is>
      </ns0:c>
      <ns0:c r="D242" s="16" t="inlineStr">
        <ns0:is>
          <ns0:t>FY2025_20F PDF页173–174/F-6–7；https://ir.weride.ai/system/files-encrypted/nasdaq_kms/assets/2026/04/23/10-08-17/20-F.pdf</ns0:t>
        </ns0:is>
      </ns0:c>
      <ns0:c r="E242" s="16" t="inlineStr">
        <ns0:is>
          <ns0:t>披露</ns0:t>
        </ns0:is>
      </ns0:c>
    </ns0:row>
    <ns0:row r="243">
      <ns0:c r="A243" s="16" t="inlineStr">
        <ns0:is>
          <ns0:t>H12026_流动负债</ns0:t>
        </ns0:is>
      </ns0:c>
      <ns0:c r="B243" s="41" t="n">
        <ns0:v>1236732</ns0:v>
      </ns0:c>
      <ns0:c r="C243" s="16" t="inlineStr">
        <ns0:is>
          <ns0:t>人民币千元</ns0:t>
        </ns0:is>
      </ns0:c>
      <ns0:c r="D243" s="16" t="inlineStr">
        <ns0:is>
          <ns0:t>2026H1_interim PDF页49–50/48–49；66–67/65–66；https://www.hkexnews.hk/listedco/listconews/sehk/2026/0914/2026091401019.pdf</ns0:t>
        </ns0:is>
      </ns0:c>
      <ns0:c r="E243" s="16" t="inlineStr">
        <ns0:is>
          <ns0:t>披露</ns0:t>
        </ns0:is>
      </ns0:c>
    </ns0:row>
    <ns0:row r="244">
      <ns0:c r="A244" s="16" t="inlineStr">
        <ns0:is>
          <ns0:t>FY2025_应收拨备</ns0:t>
        </ns0:is>
      </ns0:c>
      <ns0:c r="B244" s="41" t="n">
        <ns0:v>69795</ns0:v>
      </ns0:c>
      <ns0:c r="C244" s="16" t="inlineStr">
        <ns0:is>
          <ns0:t>人民币千元</ns0:t>
        </ns0:is>
      </ns0:c>
      <ns0:c r="D244" s="16" t="inlineStr">
        <ns0:is>
          <ns0:t>2026H1_interim PDF页49–50/48–49；66–67/65–66；https://www.hkexnews.hk/listedco/listconews/sehk/2026/0914/2026091401019.pdf</ns0:t>
        </ns0:is>
      </ns0:c>
      <ns0:c r="E244" s="16" t="inlineStr">
        <ns0:is>
          <ns0:t>披露</ns0:t>
        </ns0:is>
      </ns0:c>
    </ns0:row>
    <ns0:row r="245">
      <ns0:c r="A245" s="16" t="inlineStr">
        <ns0:is>
          <ns0:t>H12026_应收拨备</ns0:t>
        </ns0:is>
      </ns0:c>
      <ns0:c r="B245" s="41" t="n">
        <ns0:v>66058</ns0:v>
      </ns0:c>
      <ns0:c r="C245" s="16" t="inlineStr">
        <ns0:is>
          <ns0:t>人民币千元</ns0:t>
        </ns0:is>
      </ns0:c>
      <ns0:c r="D245" s="16" t="inlineStr">
        <ns0:is>
          <ns0:t>2026H1_interim PDF页49–50/48–49；66–67/65–66；https://www.hkexnews.hk/listedco/listconews/sehk/2026/0914/2026091401019.pdf</ns0:t>
        </ns0:is>
      </ns0:c>
      <ns0:c r="E245" s="16" t="inlineStr">
        <ns0:is>
          <ns0:t>披露</ns0:t>
        </ns0:is>
      </ns0:c>
    </ns0:row>
    <ns0:row r="246">
      <ns0:c r="A246" s="16" t="inlineStr">
        <ns0:is>
          <ns0:t>FY2025_合同资产拨备</ns0:t>
        </ns0:is>
      </ns0:c>
      <ns0:c r="B246" s="41" t="n">
        <ns0:v>23910</ns0:v>
      </ns0:c>
      <ns0:c r="C246" s="16" t="inlineStr">
        <ns0:is>
          <ns0:t>人民币千元</ns0:t>
        </ns0:is>
      </ns0:c>
      <ns0:c r="D246" s="16" t="inlineStr">
        <ns0:is>
          <ns0:t>2026H1_interim PDF页49–50/48–49；66–67/65–66；https://www.hkexnews.hk/listedco/listconews/sehk/2026/0914/2026091401019.pdf</ns0:t>
        </ns0:is>
      </ns0:c>
      <ns0:c r="E246" s="16" t="inlineStr">
        <ns0:is>
          <ns0:t>披露</ns0:t>
        </ns0:is>
      </ns0:c>
    </ns0:row>
    <ns0:row r="247">
      <ns0:c r="A247" s="16" t="inlineStr">
        <ns0:is>
          <ns0:t>H12026_合同资产拨备</ns0:t>
        </ns0:is>
      </ns0:c>
      <ns0:c r="B247" s="41" t="n">
        <ns0:v>23495</ns0:v>
      </ns0:c>
      <ns0:c r="C247" s="16" t="inlineStr">
        <ns0:is>
          <ns0:t>人民币千元</ns0:t>
        </ns0:is>
      </ns0:c>
      <ns0:c r="D247" s="16" t="inlineStr">
        <ns0:is>
          <ns0:t>2026H1_interim PDF页49–50/48–49；66–67/65–66；https://www.hkexnews.hk/listedco/listconews/sehk/2026/0914/2026091401019.pdf</ns0:t>
        </ns0:is>
      </ns0:c>
      <ns0:c r="E247" s="16" t="inlineStr">
        <ns0:is>
          <ns0:t>披露</ns0:t>
        </ns0:is>
      </ns0:c>
    </ns0:row>
    <ns0:row r="248">
      <ns0:c r="A248" s="16" t="inlineStr">
        <ns0:is>
          <ns0:t>FY2022_固定资产</ns0:t>
        </ns0:is>
      </ns0:c>
      <ns0:c r="B248" s="41" t="n">
        <ns0:v>113878</ns0:v>
      </ns0:c>
      <ns0:c r="C248" s="16" t="inlineStr">
        <ns0:is>
          <ns0:t>人民币千元</ns0:t>
        </ns0:is>
      </ns0:c>
      <ns0:c r="D248" s="16" t="inlineStr">
        <ns0:is>
          <ns0:t>2024_US_424B4 PDF页281–282/F-5–6；https://ir.weride.ai/static-files/406cbf25-bb49-4020-b913-f9cca1283c6e</ns0:t>
        </ns0:is>
      </ns0:c>
      <ns0:c r="E248" s="16" t="inlineStr">
        <ns0:is>
          <ns0:t>披露</ns0:t>
        </ns0:is>
      </ns0:c>
    </ns0:row>
    <ns0:row r="249">
      <ns0:c r="A249" s="16" t="inlineStr">
        <ns0:is>
          <ns0:t>FY2023_固定资产</ns0:t>
        </ns0:is>
      </ns0:c>
      <ns0:c r="B249" s="41" t="n">
        <ns0:v>98574</ns0:v>
      </ns0:c>
      <ns0:c r="C249" s="16" t="inlineStr">
        <ns0:is>
          <ns0:t>人民币千元</ns0:t>
        </ns0:is>
      </ns0:c>
      <ns0:c r="D249" s="16" t="inlineStr">
        <ns0:is>
          <ns0:t>FY2024_20F PDF页171–172/F-5–6；https://ir.weride.ai/static-files/72a895d1-7999-4f63-9d97-476c54e7ecab</ns0:t>
        </ns0:is>
      </ns0:c>
      <ns0:c r="E249" s="16" t="inlineStr">
        <ns0:is>
          <ns0:t>披露</ns0:t>
        </ns0:is>
      </ns0:c>
    </ns0:row>
    <ns0:row r="250">
      <ns0:c r="A250" s="16" t="inlineStr">
        <ns0:is>
          <ns0:t>FY2024_固定资产</ns0:t>
        </ns0:is>
      </ns0:c>
      <ns0:c r="B250" s="41" t="n">
        <ns0:v>178179</ns0:v>
      </ns0:c>
      <ns0:c r="C250" s="16" t="inlineStr">
        <ns0:is>
          <ns0:t>人民币千元</ns0:t>
        </ns0:is>
      </ns0:c>
      <ns0:c r="D250" s="16" t="inlineStr">
        <ns0:is>
          <ns0:t>FY2025_20F PDF页173–174/F-6–7；https://ir.weride.ai/system/files-encrypted/nasdaq_kms/assets/2026/04/23/10-08-17/20-F.pdf</ns0:t>
        </ns0:is>
      </ns0:c>
      <ns0:c r="E250" s="16" t="inlineStr">
        <ns0:is>
          <ns0:t>披露</ns0:t>
        </ns0:is>
      </ns0:c>
    </ns0:row>
    <ns0:row r="251">
      <ns0:c r="A251" s="16" t="inlineStr">
        <ns0:is>
          <ns0:t>FY2025_固定资产</ns0:t>
        </ns0:is>
      </ns0:c>
      <ns0:c r="B251" s="41" t="n">
        <ns0:v>378769</ns0:v>
      </ns0:c>
      <ns0:c r="C251" s="16" t="inlineStr">
        <ns0:is>
          <ns0:t>人民币千元</ns0:t>
        </ns0:is>
      </ns0:c>
      <ns0:c r="D251" s="16" t="inlineStr">
        <ns0:is>
          <ns0:t>FY2025_20F PDF页173–174/F-6–7；https://ir.weride.ai/system/files-encrypted/nasdaq_kms/assets/2026/04/23/10-08-17/20-F.pdf</ns0:t>
        </ns0:is>
      </ns0:c>
      <ns0:c r="E251" s="16" t="inlineStr">
        <ns0:is>
          <ns0:t>披露</ns0:t>
        </ns0:is>
      </ns0:c>
    </ns0:row>
    <ns0:row r="252">
      <ns0:c r="A252" s="16" t="inlineStr">
        <ns0:is>
          <ns0:t>H12026_固定资产</ns0:t>
        </ns0:is>
      </ns0:c>
      <ns0:c r="B252" s="41" t="n">
        <ns0:v>573233</ns0:v>
      </ns0:c>
      <ns0:c r="C252" s="16" t="inlineStr">
        <ns0:is>
          <ns0:t>人民币千元</ns0:t>
        </ns0:is>
      </ns0:c>
      <ns0:c r="D252" s="16" t="inlineStr">
        <ns0:is>
          <ns0:t>2026H1_interim PDF页49–50/48–49；66–67/65–66；https://www.hkexnews.hk/listedco/listconews/sehk/2026/0914/2026091401019.pdf</ns0:t>
        </ns0:is>
      </ns0:c>
      <ns0:c r="E252" s="16" t="inlineStr">
        <ns0:is>
          <ns0:t>披露</ns0:t>
        </ns0:is>
      </ns0:c>
    </ns0:row>
    <ns0:row r="253">
      <ns0:c r="A253" s="16" t="inlineStr">
        <ns0:is>
          <ns0:t>FY2022_回售期权负债</ns0:t>
        </ns0:is>
      </ns0:c>
      <ns0:c r="B253" s="41" t="n">
        <ns0:v>39812</ns0:v>
      </ns0:c>
      <ns0:c r="C253" s="16" t="inlineStr">
        <ns0:is>
          <ns0:t>人民币千元</ns0:t>
        </ns0:is>
      </ns0:c>
      <ns0:c r="D253" s="16" t="inlineStr">
        <ns0:is>
          <ns0:t>2024_US_424B4 PDF页281–282/F-5–6；https://ir.weride.ai/static-files/406cbf25-bb49-4020-b913-f9cca1283c6e</ns0:t>
        </ns0:is>
      </ns0:c>
      <ns0:c r="E253" s="16" t="inlineStr">
        <ns0:is>
          <ns0:t>披露</ns0:t>
        </ns0:is>
      </ns0:c>
    </ns0:row>
    <ns0:row r="254">
      <ns0:c r="A254" s="16" t="inlineStr">
        <ns0:is>
          <ns0:t>FY2023_回售期权负债</ns0:t>
        </ns0:is>
      </ns0:c>
      <ns0:c r="B254" s="41" t="n">
        <ns0:v>40449</ns0:v>
      </ns0:c>
      <ns0:c r="C254" s="16" t="inlineStr">
        <ns0:is>
          <ns0:t>人民币千元</ns0:t>
        </ns0:is>
      </ns0:c>
      <ns0:c r="D254" s="16" t="inlineStr">
        <ns0:is>
          <ns0:t>FY2024_20F PDF页171–172/F-5–6；https://ir.weride.ai/static-files/72a895d1-7999-4f63-9d97-476c54e7ecab</ns0:t>
        </ns0:is>
      </ns0:c>
      <ns0:c r="E254" s="16" t="inlineStr">
        <ns0:is>
          <ns0:t>披露</ns0:t>
        </ns0:is>
      </ns0:c>
    </ns0:row>
    <ns0:row r="255">
      <ns0:c r="A255" s="16" t="inlineStr">
        <ns0:is>
          <ns0:t>FY2024_回售期权负债</ns0:t>
        </ns0:is>
      </ns0:c>
      <ns0:c r="B255" s="41" t="n">
        <ns0:v>41099</ns0:v>
      </ns0:c>
      <ns0:c r="C255" s="16" t="inlineStr">
        <ns0:is>
          <ns0:t>人民币千元</ns0:t>
        </ns0:is>
      </ns0:c>
      <ns0:c r="D255" s="16" t="inlineStr">
        <ns0:is>
          <ns0:t>FY2025_20F PDF页173–174/F-6–7；https://ir.weride.ai/system/files-encrypted/nasdaq_kms/assets/2026/04/23/10-08-17/20-F.pdf</ns0:t>
        </ns0:is>
      </ns0:c>
      <ns0:c r="E255" s="16" t="inlineStr">
        <ns0:is>
          <ns0:t>披露</ns0:t>
        </ns0:is>
      </ns0:c>
    </ns0:row>
    <ns0:row r="256">
      <ns0:c r="A256" s="16" t="inlineStr">
        <ns0:is>
          <ns0:t>FY2025_回售期权负债</ns0:t>
        </ns0:is>
      </ns0:c>
      <ns0:c r="B256" s="41" t="n">
        <ns0:v>43300</ns0:v>
      </ns0:c>
      <ns0:c r="C256" s="16" t="inlineStr">
        <ns0:is>
          <ns0:t>人民币千元</ns0:t>
        </ns0:is>
      </ns0:c>
      <ns0:c r="D256" s="16" t="inlineStr">
        <ns0:is>
          <ns0:t>FY2025_20F PDF页173–174/F-6–7；https://ir.weride.ai/system/files-encrypted/nasdaq_kms/assets/2026/04/23/10-08-17/20-F.pdf</ns0:t>
        </ns0:is>
      </ns0:c>
      <ns0:c r="E256" s="16" t="inlineStr">
        <ns0:is>
          <ns0:t>披露</ns0:t>
        </ns0:is>
      </ns0:c>
    </ns0:row>
    <ns0:row r="257">
      <ns0:c r="A257" s="16" t="inlineStr">
        <ns0:is>
          <ns0:t>H12026_回售期权负债</ns0:t>
        </ns0:is>
      </ns0:c>
      <ns0:c r="B257" s="41" t="n">
        <ns0:v>31681</ns0:v>
      </ns0:c>
      <ns0:c r="C257" s="16" t="inlineStr">
        <ns0:is>
          <ns0:t>人民币千元</ns0:t>
        </ns0:is>
      </ns0:c>
      <ns0:c r="D257" s="16" t="inlineStr">
        <ns0:is>
          <ns0:t>2026H1_interim PDF页49–50/48–49；66–67/65–66；https://www.hkexnews.hk/listedco/listconews/sehk/2026/0914/2026091401019.pdf</ns0:t>
        </ns0:is>
      </ns0:c>
      <ns0:c r="E257" s="16" t="inlineStr">
        <ns0:is>
          <ns0:t>披露</ns0:t>
        </ns0:is>
      </ns0:c>
    </ns0:row>
    <ns0:row r="258">
      <ns0:c r="A258" s="16" t="inlineStr">
        <ns0:is>
          <ns0:t>股份A</ns0:t>
        </ns0:is>
      </ns0:c>
      <ns0:c r="B258" s="41" t="n">
        <ns0:v>972508041</ns0:v>
      </ns0:c>
      <ns0:c r="C258" s="16" t="inlineStr">
        <ns0:is>
          <ns0:t>股；ADS比例为股/ADS</ns0:t>
        </ns0:is>
      </ns0:c>
      <ns0:c r="D258" s="16" t="inlineStr">
        <ns0:is>
          <ns0:t>2026H1_interim PDF页43/42；73/72；75–77/74–76；https://www.hkexnews.hk/listedco/listconews/sehk/2026/0914/2026091401019.pdf</ns0:t>
        </ns0:is>
      </ns0:c>
      <ns0:c r="E258" s="16" t="inlineStr">
        <ns0:is>
          <ns0:t>披露</ns0:t>
        </ns0:is>
      </ns0:c>
    </ns0:row>
    <ns0:row r="259">
      <ns0:c r="A259" s="16" t="inlineStr">
        <ns0:is>
          <ns0:t>股份B</ns0:t>
        </ns0:is>
      </ns0:c>
      <ns0:c r="B259" s="41" t="n">
        <ns0:v>54814423</ns0:v>
      </ns0:c>
      <ns0:c r="C259" s="16" t="inlineStr">
        <ns0:is>
          <ns0:t>股；ADS比例为股/ADS</ns0:t>
        </ns0:is>
      </ns0:c>
      <ns0:c r="D259" s="16" t="inlineStr">
        <ns0:is>
          <ns0:t>2026H1_interim PDF页43/42；73/72；75–77/74–76；https://www.hkexnews.hk/listedco/listconews/sehk/2026/0914/2026091401019.pdf</ns0:t>
        </ns0:is>
      </ns0:c>
      <ns0:c r="E259" s="16" t="inlineStr">
        <ns0:is>
          <ns0:t>披露</ns0:t>
        </ns0:is>
      </ns0:c>
    </ns0:row>
    <ns0:row r="260">
      <ns0:c r="A260" s="16" t="inlineStr">
        <ns0:is>
          <ns0:t>库存股</ns0:t>
        </ns0:is>
      </ns0:c>
      <ns0:c r="B260" s="41" t="n">
        <ns0:v>40454099</ns0:v>
      </ns0:c>
      <ns0:c r="C260" s="16" t="inlineStr">
        <ns0:is>
          <ns0:t>股；ADS比例为股/ADS</ns0:t>
        </ns0:is>
      </ns0:c>
      <ns0:c r="D260" s="16" t="inlineStr">
        <ns0:is>
          <ns0:t>2026H1_interim PDF页43/42；73/72；75–77/74–76；https://www.hkexnews.hk/listedco/listconews/sehk/2026/0914/2026091401019.pdf</ns0:t>
        </ns0:is>
      </ns0:c>
      <ns0:c r="E260" s="16" t="inlineStr">
        <ns0:is>
          <ns0:t>披露</ns0:t>
        </ns0:is>
      </ns0:c>
    </ns0:row>
    <ns0:row r="261">
      <ns0:c r="A261" s="16" t="inlineStr">
        <ns0:is>
          <ns0:t>ADS比例</ns0:t>
        </ns0:is>
      </ns0:c>
      <ns0:c r="B261" s="41" t="n">
        <ns0:v>3</ns0:v>
      </ns0:c>
      <ns0:c r="C261" s="16" t="inlineStr">
        <ns0:is>
          <ns0:t>股；ADS比例为股/ADS</ns0:t>
        </ns0:is>
      </ns0:c>
      <ns0:c r="D261" s="16" t="inlineStr">
        <ns0:is>
          <ns0:t>2026H1_interim PDF页43/42；73/72；75–77/74–76；https://www.hkexnews.hk/listedco/listconews/sehk/2026/0914/2026091401019.pdf</ns0:t>
        </ns0:is>
      </ns0:c>
      <ns0:c r="E261" s="16" t="inlineStr">
        <ns0:is>
          <ns0:t>披露</ns0:t>
        </ns0:is>
      </ns0:c>
    </ns0:row>
    <ns0:row r="262">
      <ns0:c r="A262" s="16" t="inlineStr">
        <ns0:is>
          <ns0:t>期权</ns0:t>
        </ns0:is>
      </ns0:c>
      <ns0:c r="B262" s="41" t="n">
        <ns0:v>90902378</ns0:v>
      </ns0:c>
      <ns0:c r="C262" s="16" t="inlineStr">
        <ns0:is>
          <ns0:t>股；ADS比例为股/ADS</ns0:t>
        </ns0:is>
      </ns0:c>
      <ns0:c r="D262" s="16" t="inlineStr">
        <ns0:is>
          <ns0:t>2026H1_interim PDF页43/42；73/72；75–77/74–76；https://www.hkexnews.hk/listedco/listconews/sehk/2026/0914/2026091401019.pdf</ns0:t>
        </ns0:is>
      </ns0:c>
      <ns0:c r="E262" s="16" t="inlineStr">
        <ns0:is>
          <ns0:t>披露</ns0:t>
        </ns0:is>
      </ns0:c>
    </ns0:row>
    <ns0:row r="263">
      <ns0:c r="A263" s="16" t="inlineStr">
        <ns0:is>
          <ns0:t>RSU2018</ns0:t>
        </ns0:is>
      </ns0:c>
      <ns0:c r="B263" s="41" t="n">
        <ns0:v>19094091</ns0:v>
      </ns0:c>
      <ns0:c r="C263" s="16" t="inlineStr">
        <ns0:is>
          <ns0:t>股；ADS比例为股/ADS</ns0:t>
        </ns0:is>
      </ns0:c>
      <ns0:c r="D263" s="16" t="inlineStr">
        <ns0:is>
          <ns0:t>2026H1_interim PDF页43/42；73/72；75–77/74–76；https://www.hkexnews.hk/listedco/listconews/sehk/2026/0914/2026091401019.pdf</ns0:t>
        </ns0:is>
      </ns0:c>
      <ns0:c r="E263" s="16" t="inlineStr">
        <ns0:is>
          <ns0:t>披露</ns0:t>
        </ns0:is>
      </ns0:c>
    </ns0:row>
    <ns0:row r="264">
      <ns0:c r="A264" s="16" t="inlineStr">
        <ns0:is>
          <ns0:t>RSU2026</ns0:t>
        </ns0:is>
      </ns0:c>
      <ns0:c r="B264" s="41" t="n">
        <ns0:v>7686812</ns0:v>
      </ns0:c>
      <ns0:c r="C264" s="16" t="inlineStr">
        <ns0:is>
          <ns0:t>股；ADS比例为股/ADS</ns0:t>
        </ns0:is>
      </ns0:c>
      <ns0:c r="D264" s="16" t="inlineStr">
        <ns0:is>
          <ns0:t>2026H1_interim PDF页43/42；73/72；75–77/74–76；https://www.hkexnews.hk/listedco/listconews/sehk/2026/0914/2026091401019.pdf</ns0:t>
        </ns0:is>
      </ns0:c>
      <ns0:c r="E264" s="16" t="inlineStr">
        <ns0:is>
          <ns0:t>披露</ns0:t>
        </ns0:is>
      </ns0:c>
    </ns0:row>
    <ns0:row r="265">
      <ns0:c r="A265" s="16" t="inlineStr">
        <ns0:is>
          <ns0:t>预发行激励股份</ns0:t>
        </ns0:is>
      </ns0:c>
      <ns0:c r="B265" s="41" t="n">
        <ns0:v>75000000</ns0:v>
      </ns0:c>
      <ns0:c r="C265" s="16" t="inlineStr">
        <ns0:is>
          <ns0:t>股；ADS比例为股/ADS</ns0:t>
        </ns0:is>
      </ns0:c>
      <ns0:c r="D265" s="16" t="inlineStr">
        <ns0:is>
          <ns0:t>2026H1_interim PDF页43/42；73/72；75–77/74–76；https://www.hkexnews.hk/listedco/listconews/sehk/2026/0914/2026091401019.pdf</ns0:t>
        </ns0:is>
      </ns0:c>
      <ns0:c r="E265" s="16" t="inlineStr">
        <ns0:is>
          <ns0:t>披露</ns0:t>
        </ns0:is>
      </ns0:c>
    </ns0:row>
    <ns0:row r="266">
      <ns0:c r="A266" s="16" t="inlineStr">
        <ns0:is>
          <ns0:t>半年回购</ns0:t>
        </ns0:is>
      </ns0:c>
      <ns0:c r="B266" s="41" t="n">
        <ns0:v>684809</ns0:v>
      </ns0:c>
      <ns0:c r="C266" s="16" t="inlineStr">
        <ns0:is>
          <ns0:t>人民币千元</ns0:t>
        </ns0:is>
      </ns0:c>
      <ns0:c r="D266" s="16" t="inlineStr">
        <ns0:is>
          <ns0:t>2026H1_interim PDF页47/46；53–54/52–53；https://www.hkexnews.hk/listedco/listconews/sehk/2026/0914/2026091401019.pdf</ns0:t>
        </ns0:is>
      </ns0:c>
      <ns0:c r="E266" s="16" t="inlineStr">
        <ns0:is>
          <ns0:t>披露</ns0:t>
        </ns0:is>
      </ns0:c>
    </ns0:row>
    <ns0:row r="267">
      <ns0:c r="A267" s="16" t="inlineStr">
        <ns0:is>
          <ns0:t>半年租赁本金</ns0:t>
        </ns0:is>
      </ns0:c>
      <ns0:c r="B267" s="41" t="n">
        <ns0:v>24578</ns0:v>
      </ns0:c>
      <ns0:c r="C267" s="16" t="inlineStr">
        <ns0:is>
          <ns0:t>人民币千元</ns0:t>
        </ns0:is>
      </ns0:c>
      <ns0:c r="D267" s="16" t="inlineStr">
        <ns0:is>
          <ns0:t>2026H1_interim PDF页47/46；53–54/52–53；https://www.hkexnews.hk/listedco/listconews/sehk/2026/0914/2026091401019.pdf</ns0:t>
        </ns0:is>
      </ns0:c>
      <ns0:c r="E267" s="16" t="inlineStr">
        <ns0:is>
          <ns0:t>披露</ns0:t>
        </ns0:is>
      </ns0:c>
    </ns0:row>
    <ns0:row r="268">
      <ns0:c r="A268" s="16" t="inlineStr">
        <ns0:is>
          <ns0:t>半年租赁利息</ns0:t>
        </ns0:is>
      </ns0:c>
      <ns0:c r="B268" s="41" t="n">
        <ns0:v>1330</ns0:v>
      </ns0:c>
      <ns0:c r="C268" s="16" t="inlineStr">
        <ns0:is>
          <ns0:t>人民币千元</ns0:t>
        </ns0:is>
      </ns0:c>
      <ns0:c r="D268" s="16" t="inlineStr">
        <ns0:is>
          <ns0:t>2026H1_interim PDF页47/46；53–54/52–53；https://www.hkexnews.hk/listedco/listconews/sehk/2026/0914/2026091401019.pdf</ns0:t>
        </ns0:is>
      </ns0:c>
      <ns0:c r="E268" s="16" t="inlineStr">
        <ns0:is>
          <ns0:t>披露</ns0:t>
        </ns0:is>
      </ns0:c>
    </ns0:row>
    <ns0:row r="269">
      <ns0:c r="A269" s="16" t="inlineStr">
        <ns0:is>
          <ns0:t>半年贷款利息</ns0:t>
        </ns0:is>
      </ns0:c>
      <ns0:c r="B269" s="41" t="n">
        <ns0:v>3711</ns0:v>
      </ns0:c>
      <ns0:c r="C269" s="16" t="inlineStr">
        <ns0:is>
          <ns0:t>人民币千元</ns0:t>
        </ns0:is>
      </ns0:c>
      <ns0:c r="D269" s="16" t="inlineStr">
        <ns0:is>
          <ns0:t>2026H1_interim PDF页47/46；53–54/52–53；https://www.hkexnews.hk/listedco/listconews/sehk/2026/0914/2026091401019.pdf</ns0:t>
        </ns0:is>
      </ns0:c>
      <ns0:c r="E269" s="16" t="inlineStr">
        <ns0:is>
          <ns0:t>披露</ns0:t>
        </ns0:is>
      </ns0:c>
    </ns0:row>
    <ns0:row r="270">
      <ns0:c r="A270" s="16" t="inlineStr">
        <ns0:is>
          <ns0:t>半年汇率影响</ns0:t>
        </ns0:is>
      </ns0:c>
      <ns0:c r="B270" s="41" t="n">
        <ns0:v>-170682</ns0:v>
      </ns0:c>
      <ns0:c r="C270" s="16" t="inlineStr">
        <ns0:is>
          <ns0:t>人民币千元</ns0:t>
        </ns0:is>
      </ns0:c>
      <ns0:c r="D270" s="16" t="inlineStr">
        <ns0:is>
          <ns0:t>2026H1_interim PDF页47/46；53–54/52–53；https://www.hkexnews.hk/listedco/listconews/sehk/2026/0914/2026091401019.pdf</ns0:t>
        </ns0:is>
      </ns0:c>
      <ns0:c r="E270" s="16" t="inlineStr">
        <ns0:is>
          <ns0:t>披露</ns0:t>
        </ns0:is>
      </ns0:c>
    </ns0:row>
    <ns0:row r="271">
      <ns0:c r="A271" s="16" t="inlineStr">
        <ns0:is>
          <ns0:t>FY2025租赁本金</ns0:t>
        </ns0:is>
      </ns0:c>
      <ns0:c r="B271" s="41" t="n">
        <ns0:v>46629</ns0:v>
      </ns0:c>
      <ns0:c r="C271" s="16" t="inlineStr">
        <ns0:is>
          <ns0:t>人民币千元</ns0:t>
        </ns0:is>
      </ns0:c>
      <ns0:c r="D271" s="16" t="inlineStr">
        <ns0:is>
          <ns0:t>FY2025_20F PDF页171/F-4；178/F-11；111/108；https://ir.weride.ai/system/files-encrypted/nasdaq_kms/assets/2026/04/23/10-08-17/20-F.pdf</ns0:t>
        </ns0:is>
      </ns0:c>
      <ns0:c r="E271" s="16" t="inlineStr">
        <ns0:is>
          <ns0:t>披露</ns0:t>
        </ns0:is>
      </ns0:c>
    </ns0:row>
    <ns0:row r="272">
      <ns0:c r="A272" s="16" t="inlineStr">
        <ns0:is>
          <ns0:t>FY2025租赁利息</ns0:t>
        </ns0:is>
      </ns0:c>
      <ns0:c r="B272" s="41" t="n">
        <ns0:v>2745</ns0:v>
      </ns0:c>
      <ns0:c r="C272" s="16" t="inlineStr">
        <ns0:is>
          <ns0:t>人民币千元</ns0:t>
        </ns0:is>
      </ns0:c>
      <ns0:c r="D272" s="16" t="inlineStr">
        <ns0:is>
          <ns0:t>FY2025_20F PDF页171/F-4；178/F-11；111/108；https://ir.weride.ai/system/files-encrypted/nasdaq_kms/assets/2026/04/23/10-08-17/20-F.pdf</ns0:t>
        </ns0:is>
      </ns0:c>
      <ns0:c r="E272" s="16" t="inlineStr">
        <ns0:is>
          <ns0:t>披露</ns0:t>
        </ns0:is>
      </ns0:c>
    </ns0:row>
    <ns0:row r="273">
      <ns0:c r="A273" s="16" t="inlineStr">
        <ns0:is>
          <ns0:t>FY2025贷款利息</ns0:t>
        </ns0:is>
      </ns0:c>
      <ns0:c r="B273" s="41" t="n">
        <ns0:v>4063</ns0:v>
      </ns0:c>
      <ns0:c r="C273" s="16" t="inlineStr">
        <ns0:is>
          <ns0:t>人民币千元</ns0:t>
        </ns0:is>
      </ns0:c>
      <ns0:c r="D273" s="16" t="inlineStr">
        <ns0:is>
          <ns0:t>FY2025_20F PDF页171/F-4；178/F-11；111/108；https://ir.weride.ai/system/files-encrypted/nasdaq_kms/assets/2026/04/23/10-08-17/20-F.pdf</ns0:t>
        </ns0:is>
      </ns0:c>
      <ns0:c r="E273" s="16" t="inlineStr">
        <ns0:is>
          <ns0:t>披露</ns0:t>
        </ns0:is>
      </ns0:c>
    </ns0:row>
    <ns0:row r="274">
      <ns0:c r="A274" s="16" t="inlineStr">
        <ns0:is>
          <ns0:t>H12025租赁本金</ns0:t>
        </ns0:is>
      </ns0:c>
      <ns0:c r="B274" s="41" t="n">
        <ns0:v>26810</ns0:v>
      </ns0:c>
      <ns0:c r="C274" s="16" t="inlineStr">
        <ns0:is>
          <ns0:t>人民币千元</ns0:t>
        </ns0:is>
      </ns0:c>
      <ns0:c r="D274" s="16" t="inlineStr">
        <ns0:is>
          <ns0:t>2026H1_interim PDF页47/46；53–54/52–53；https://www.hkexnews.hk/listedco/listconews/sehk/2026/0914/2026091401019.pdf</ns0:t>
        </ns0:is>
      </ns0:c>
      <ns0:c r="E274" s="16" t="inlineStr">
        <ns0:is>
          <ns0:t>披露</ns0:t>
        </ns0:is>
      </ns0:c>
    </ns0:row>
    <ns0:row r="275">
      <ns0:c r="A275" s="16" t="inlineStr">
        <ns0:is>
          <ns0:t>H12025租赁利息</ns0:t>
        </ns0:is>
      </ns0:c>
      <ns0:c r="B275" s="41" t="n">
        <ns0:v>1660</ns0:v>
      </ns0:c>
      <ns0:c r="C275" s="16" t="inlineStr">
        <ns0:is>
          <ns0:t>人民币千元</ns0:t>
        </ns0:is>
      </ns0:c>
      <ns0:c r="D275" s="16" t="inlineStr">
        <ns0:is>
          <ns0:t>2026H1_interim PDF页47/46；53–54/52–53；https://www.hkexnews.hk/listedco/listconews/sehk/2026/0914/2026091401019.pdf</ns0:t>
        </ns0:is>
      </ns0:c>
      <ns0:c r="E275" s="16" t="inlineStr">
        <ns0:is>
          <ns0:t>披露</ns0:t>
        </ns0:is>
      </ns0:c>
    </ns0:row>
    <ns0:row r="276">
      <ns0:c r="A276" s="16" t="inlineStr">
        <ns0:is>
          <ns0:t>H12025贷款利息</ns0:t>
        </ns0:is>
      </ns0:c>
      <ns0:c r="B276" s="41" t="n">
        <ns0:v>1280</ns0:v>
      </ns0:c>
      <ns0:c r="C276" s="16" t="inlineStr">
        <ns0:is>
          <ns0:t>人民币千元</ns0:t>
        </ns0:is>
      </ns0:c>
      <ns0:c r="D276" s="16" t="inlineStr">
        <ns0:is>
          <ns0:t>2026H1_interim PDF页47/46；53–54/52–53；https://www.hkexnews.hk/listedco/listconews/sehk/2026/0914/2026091401019.pdf</ns0:t>
        </ns0:is>
      </ns0:c>
      <ns0:c r="E276" s="16" t="inlineStr">
        <ns0:is>
          <ns0:t>披露</ns0:t>
        </ns0:is>
      </ns0:c>
    </ns0:row>
    <ns0:row r="277">
      <ns0:c r="A277" s="16" t="inlineStr">
        <ns0:is>
          <ns0:t>汇率</ns0:t>
        </ns0:is>
      </ns0:c>
      <ns0:c r="B277" s="41" t="n">
        <ns0:v>6.7851</ns0:v>
      </ns0:c>
      <ns0:c r="C277" s="16" t="inlineStr">
        <ns0:is>
          <ns0:t>参数</ns0:t>
        </ns0:is>
      </ns0:c>
      <ns0:c r="D277" s="16" t="inlineStr">
        <ns0:is>
          <ns0:t>PONY_2026Q2公告汇率说明（2026-06-30美联储H.10）</ns0:t>
        </ns0:is>
      </ns0:c>
      <ns0:c r="E277" s="16" t="inlineStr">
        <ns0:is>
          <ns0:t>披露汇率</ns0:t>
        </ns0:is>
      </ns0:c>
    </ns0:row>
    <ns0:row r="278">
      <ns0:c r="A278" s="16" t="inlineStr">
        <ns0:is>
          <ns0:t>要求回报</ns0:t>
        </ns0:is>
      </ns0:c>
      <ns0:c r="B278" s="41" t="n">
        <ns0:v>0.1</ns0:v>
      </ns0:c>
      <ns0:c r="C278" s="16" t="inlineStr">
        <ns0:is>
          <ns0:t>参数</ns0:t>
        </ns0:is>
      </ns0:c>
      <ns0:c r="D278" s="16" t="inlineStr">
        <ns0:is>
          <ns0:t>Noah v1.2 [C1]/[C3]；其余为本报告显式分析假设或单位常数</ns0:t>
        </ns0:is>
      </ns0:c>
      <ns0:c r="E278" s="16" t="inlineStr">
        <ns0:is>
          <ns0:t>假设/单位常数；非公司指引</ns0:t>
        </ns0:is>
      </ns0:c>
    </ns0:row>
    <ns0:row r="279">
      <ns0:c r="A279" s="16" t="inlineStr">
        <ns0:is>
          <ns0:t>期限年</ns0:t>
        </ns0:is>
      </ns0:c>
      <ns0:c r="B279" s="41" t="n">
        <ns0:v>10</ns0:v>
      </ns0:c>
      <ns0:c r="C279" s="16" t="inlineStr">
        <ns0:is>
          <ns0:t>参数</ns0:t>
        </ns0:is>
      </ns0:c>
      <ns0:c r="D279" s="16" t="inlineStr">
        <ns0:is>
          <ns0:t>Noah v1.2 [C1]/[C3]；其余为本报告显式分析假设或单位常数</ns0:t>
        </ns0:is>
      </ns0:c>
      <ns0:c r="E279" s="16" t="inlineStr">
        <ns0:is>
          <ns0:t>假设/单位常数；非公司指引</ns0:t>
        </ns0:is>
      </ns0:c>
    </ns0:row>
    <ns0:row r="280">
      <ns0:c r="A280" s="16" t="inlineStr">
        <ns0:is>
          <ns0:t>半年月数</ns0:t>
        </ns0:is>
      </ns0:c>
      <ns0:c r="B280" s="41" t="n">
        <ns0:v>6</ns0:v>
      </ns0:c>
      <ns0:c r="C280" s="16" t="inlineStr">
        <ns0:is>
          <ns0:t>参数</ns0:t>
        </ns0:is>
      </ns0:c>
      <ns0:c r="D280" s="16" t="inlineStr">
        <ns0:is>
          <ns0:t>Noah v1.2 [C1]/[C3]；其余为本报告显式分析假设或单位常数</ns0:t>
        </ns0:is>
      </ns0:c>
      <ns0:c r="E280" s="16" t="inlineStr">
        <ns0:is>
          <ns0:t>假设/单位常数；非公司指引</ns0:t>
        </ns0:is>
      </ns0:c>
    </ns0:row>
    <ns0:row r="281">
      <ns0:c r="A281" s="16" t="inlineStr">
        <ns0:is>
          <ns0:t>年内月数</ns0:t>
        </ns0:is>
      </ns0:c>
      <ns0:c r="B281" s="41" t="n">
        <ns0:v>12</ns0:v>
      </ns0:c>
      <ns0:c r="C281" s="16" t="inlineStr">
        <ns0:is>
          <ns0:t>参数</ns0:t>
        </ns0:is>
      </ns0:c>
      <ns0:c r="D281" s="16" t="inlineStr">
        <ns0:is>
          <ns0:t>Noah v1.2 [C1]/[C3]；其余为本报告显式分析假设或单位常数</ns0:t>
        </ns0:is>
      </ns0:c>
      <ns0:c r="E281" s="16" t="inlineStr">
        <ns0:is>
          <ns0:t>假设/单位常数；非公司指引</ns0:t>
        </ns0:is>
      </ns0:c>
    </ns0:row>
    <ns0:row r="282">
      <ns0:c r="A282" s="16" t="inlineStr">
        <ns0:is>
          <ns0:t>交易日年基数</ns0:t>
        </ns0:is>
      </ns0:c>
      <ns0:c r="B282" s="41" t="n">
        <ns0:v>244</ns0:v>
      </ns0:c>
      <ns0:c r="C282" s="16" t="inlineStr">
        <ns0:is>
          <ns0:t>参数</ns0:t>
        </ns0:is>
      </ns0:c>
      <ns0:c r="D282" s="16" t="inlineStr">
        <ns0:is>
          <ns0:t>Noah v1.2 [C1]/[C3]；其余为本报告显式分析假设或单位常数</ns0:t>
        </ns0:is>
      </ns0:c>
      <ns0:c r="E282" s="16" t="inlineStr">
        <ns0:is>
          <ns0:t>假设/单位常数；非公司指引</ns0:t>
        </ns0:is>
      </ns0:c>
    </ns0:row>
    <ns0:row r="283">
      <ns0:c r="A283" s="16" t="inlineStr">
        <ns0:is>
          <ns0:t>研究观察价</ns0:t>
        </ns0:is>
      </ns0:c>
      <ns0:c r="B283" s="41" t="n">
        <ns0:v>3.3</ns0:v>
      </ns0:c>
      <ns0:c r="C283" s="16" t="inlineStr">
        <ns0:is>
          <ns0:t>参数</ns0:t>
        </ns0:is>
      </ns0:c>
      <ns0:c r="D283" s="16" t="inlineStr">
        <ns0:is>
          <ns0:t>Noah v1.2 [C1]/[C3]；其余为本报告显式分析假设或单位常数</ns0:t>
        </ns0:is>
      </ns0:c>
      <ns0:c r="E283" s="16" t="inlineStr">
        <ns0:is>
          <ns0:t>假设/单位常数；非公司指引</ns0:t>
        </ns0:is>
      </ns0:c>
    </ns0:row>
    <ns0:row r="284">
      <ns0:c r="A284" s="16" t="inlineStr">
        <ns0:is>
          <ns0:t>压力烧钱倍率</ns0:t>
        </ns0:is>
      </ns0:c>
      <ns0:c r="B284" s="41" t="n">
        <ns0:v>1.5</ns0:v>
      </ns0:c>
      <ns0:c r="C284" s="16" t="inlineStr">
        <ns0:is>
          <ns0:t>参数</ns0:t>
        </ns0:is>
      </ns0:c>
      <ns0:c r="D284" s="16" t="inlineStr">
        <ns0:is>
          <ns0:t>Noah v1.2 [C1]/[C3]；其余为本报告显式分析假设或单位常数</ns0:t>
        </ns0:is>
      </ns0:c>
      <ns0:c r="E284" s="16" t="inlineStr">
        <ns0:is>
          <ns0:t>假设/单位常数；非公司指引</ns0:t>
        </ns0:is>
      </ns0:c>
    </ns0:row>
    <ns0:row r="285">
      <ns0:c r="A285" s="16" t="inlineStr">
        <ns0:is>
          <ns0:t>WRD_价格</ns0:t>
        </ns0:is>
      </ns0:c>
      <ns0:c r="B285" s="41" t="n">
        <ns0:v>5.51</ns0:v>
      </ns0:c>
      <ns0:c r="C285" s="16" t="inlineStr">
        <ns0:is>
          <ns0:t>USD、股/ADS；PB接口百分缩放</ns0:t>
        </ns0:is>
      </ns0:c>
      <ns0:c r="D285" s="16" t="inlineStr">
        <ns0:is>
          <ns0:t>https://push2.eastmoney.com/api/qt/stock/get?secid=105.WRD&amp;fields=f43%2Cf57%2Cf58%2Cf59%2Cf84%2Cf86%2Cf116%2Cf117%2Cf162%2Cf167；2026-09-16收盘</ns0:t>
        </ns0:is>
      </ns0:c>
      <ns0:c r="E285" s="16" t="inlineStr">
        <ns0:is>
          <ns0:t>行情；非完全摊薄股本</ns0:t>
        </ns0:is>
      </ns0:c>
    </ns0:row>
    <ns0:row r="286">
      <ns0:c r="A286" s="16" t="inlineStr">
        <ns0:is>
          <ns0:t>WRD_市值</ns0:t>
        </ns0:is>
      </ns0:c>
      <ns0:c r="B286" s="41" t="n">
        <ns0:v>1812548230.4017</ns0:v>
      </ns0:c>
      <ns0:c r="C286" s="16" t="inlineStr">
        <ns0:is>
          <ns0:t>USD、股/ADS；PB接口百分缩放</ns0:t>
        </ns0:is>
      </ns0:c>
      <ns0:c r="D286" s="16" t="inlineStr">
        <ns0:is>
          <ns0:t>https://push2.eastmoney.com/api/qt/stock/get?secid=105.WRD&amp;fields=f43%2Cf57%2Cf58%2Cf59%2Cf84%2Cf86%2Cf116%2Cf117%2Cf162%2Cf167；2026-09-16收盘</ns0:t>
        </ns0:is>
      </ns0:c>
      <ns0:c r="E286" s="16" t="inlineStr">
        <ns0:is>
          <ns0:t>行情；非完全摊薄股本</ns0:t>
        </ns0:is>
      </ns0:c>
    </ns0:row>
    <ns0:row r="287">
      <ns0:c r="A287" s="16" t="inlineStr">
        <ns0:is>
          <ns0:t>WRD_股数</ns0:t>
        </ns0:is>
      </ns0:c>
      <ns0:c r="B287" s="41" t="n">
        <ns0:v>328956121.67</ns0:v>
      </ns0:c>
      <ns0:c r="C287" s="16" t="inlineStr">
        <ns0:is>
          <ns0:t>USD、股/ADS；PB接口百分缩放</ns0:t>
        </ns0:is>
      </ns0:c>
      <ns0:c r="D287" s="16" t="inlineStr">
        <ns0:is>
          <ns0:t>https://push2.eastmoney.com/api/qt/stock/get?secid=105.WRD&amp;fields=f43%2Cf57%2Cf58%2Cf59%2Cf84%2Cf86%2Cf116%2Cf117%2Cf162%2Cf167；2026-09-16收盘</ns0:t>
        </ns0:is>
      </ns0:c>
      <ns0:c r="E287" s="16" t="inlineStr">
        <ns0:is>
          <ns0:t>行情；非完全摊薄股本</ns0:t>
        </ns0:is>
      </ns0:c>
    </ns0:row>
    <ns0:row r="288">
      <ns0:c r="A288" s="16" t="inlineStr">
        <ns0:is>
          <ns0:t>WRD_PB接口</ns0:t>
        </ns0:is>
      </ns0:c>
      <ns0:c r="B288" s="41" t="n">
        <ns0:v>193</ns0:v>
      </ns0:c>
      <ns0:c r="C288" s="16" t="inlineStr">
        <ns0:is>
          <ns0:t>USD、股/ADS；PB接口百分缩放</ns0:t>
        </ns0:is>
      </ns0:c>
      <ns0:c r="D288" s="16" t="inlineStr">
        <ns0:is>
          <ns0:t>https://push2.eastmoney.com/api/qt/stock/get?secid=105.WRD&amp;fields=f43%2Cf57%2Cf58%2Cf59%2Cf84%2Cf86%2Cf116%2Cf117%2Cf162%2Cf167；2026-09-16收盘</ns0:t>
        </ns0:is>
      </ns0:c>
      <ns0:c r="E288" s="16" t="inlineStr">
        <ns0:is>
          <ns0:t>行情；非完全摊薄股本</ns0:t>
        </ns0:is>
      </ns0:c>
    </ns0:row>
    <ns0:row r="289">
      <ns0:c r="A289" s="16" t="inlineStr">
        <ns0:is>
          <ns0:t>PONY_价格</ns0:t>
        </ns0:is>
      </ns0:c>
      <ns0:c r="B289" s="41" t="n">
        <ns0:v>6.55</ns0:v>
      </ns0:c>
      <ns0:c r="C289" s="16" t="inlineStr">
        <ns0:is>
          <ns0:t>USD、股/ADS；PB接口百分缩放</ns0:t>
        </ns0:is>
      </ns0:c>
      <ns0:c r="D289" s="16" t="inlineStr">
        <ns0:is>
          <ns0:t>https://push2.eastmoney.com/api/qt/stock/get?secid=105.PONY&amp;fields=f43%2Cf57%2Cf58%2Cf59%2Cf84%2Cf86%2Cf116%2Cf117%2Cf162%2Cf167；2026-09-16收盘</ns0:t>
        </ns0:is>
      </ns0:c>
      <ns0:c r="E289" s="16" t="inlineStr">
        <ns0:is>
          <ns0:t>行情；非完全摊薄股本</ns0:t>
        </ns0:is>
      </ns0:c>
    </ns0:row>
    <ns0:row r="290">
      <ns0:c r="A290" s="16" t="inlineStr">
        <ns0:is>
          <ns0:t>PONY_市值</ns0:t>
        </ns0:is>
      </ns0:c>
      <ns0:c r="B290" s="41" t="n">
        <ns0:v>2845409178.25</ns0:v>
      </ns0:c>
      <ns0:c r="C290" s="16" t="inlineStr">
        <ns0:is>
          <ns0:t>USD、股/ADS；PB接口百分缩放</ns0:t>
        </ns0:is>
      </ns0:c>
      <ns0:c r="D290" s="16" t="inlineStr">
        <ns0:is>
          <ns0:t>https://push2.eastmoney.com/api/qt/stock/get?secid=105.PONY&amp;fields=f43%2Cf57%2Cf58%2Cf59%2Cf84%2Cf86%2Cf116%2Cf117%2Cf162%2Cf167；2026-09-16收盘</ns0:t>
        </ns0:is>
      </ns0:c>
      <ns0:c r="E290" s="16" t="inlineStr">
        <ns0:is>
          <ns0:t>行情；非完全摊薄股本</ns0:t>
        </ns0:is>
      </ns0:c>
    </ns0:row>
    <ns0:row r="291">
      <ns0:c r="A291" s="16" t="inlineStr">
        <ns0:is>
          <ns0:t>PONY_股数</ns0:t>
        </ns0:is>
      </ns0:c>
      <ns0:c r="B291" s="41" t="n">
        <ns0:v>434413615</ns0:v>
      </ns0:c>
      <ns0:c r="C291" s="16" t="inlineStr">
        <ns0:is>
          <ns0:t>USD、股/ADS；PB接口百分缩放</ns0:t>
        </ns0:is>
      </ns0:c>
      <ns0:c r="D291" s="16" t="inlineStr">
        <ns0:is>
          <ns0:t>https://push2.eastmoney.com/api/qt/stock/get?secid=105.PONY&amp;fields=f43%2Cf57%2Cf58%2Cf59%2Cf84%2Cf86%2Cf116%2Cf117%2Cf162%2Cf167；2026-09-16收盘</ns0:t>
        </ns0:is>
      </ns0:c>
      <ns0:c r="E291" s="16" t="inlineStr">
        <ns0:is>
          <ns0:t>行情；非完全摊薄股本</ns0:t>
        </ns0:is>
      </ns0:c>
    </ns0:row>
    <ns0:row r="292">
      <ns0:c r="A292" s="16" t="inlineStr">
        <ns0:is>
          <ns0:t>PONY_PB接口</ns0:t>
        </ns0:is>
      </ns0:c>
      <ns0:c r="B292" s="41" t="n">
        <ns0:v>181</ns0:v>
      </ns0:c>
      <ns0:c r="C292" s="16" t="inlineStr">
        <ns0:is>
          <ns0:t>USD、股/ADS；PB接口百分缩放</ns0:t>
        </ns0:is>
      </ns0:c>
      <ns0:c r="D292" s="16" t="inlineStr">
        <ns0:is>
          <ns0:t>https://push2.eastmoney.com/api/qt/stock/get?secid=105.PONY&amp;fields=f43%2Cf57%2Cf58%2Cf59%2Cf84%2Cf86%2Cf116%2Cf117%2Cf162%2Cf167；2026-09-16收盘</ns0:t>
        </ns0:is>
      </ns0:c>
      <ns0:c r="E292" s="16" t="inlineStr">
        <ns0:is>
          <ns0:t>行情；非完全摊薄股本</ns0:t>
        </ns0:is>
      </ns0:c>
    </ns0:row>
    <ns0:row r="293">
      <ns0:c r="A293" s="16" t="inlineStr">
        <ns0:is>
          <ns0:t>AUR_价格</ns0:t>
        </ns0:is>
      </ns0:c>
      <ns0:c r="B293" s="41" t="n">
        <ns0:v>6.36</ns0:v>
      </ns0:c>
      <ns0:c r="C293" s="16" t="inlineStr">
        <ns0:is>
          <ns0:t>USD、股/ADS；PB接口百分缩放</ns0:t>
        </ns0:is>
      </ns0:c>
      <ns0:c r="D293" s="16" t="inlineStr">
        <ns0:is>
          <ns0:t>https://push2.eastmoney.com/api/qt/stock/get?secid=105.AUR&amp;fields=f43%2Cf57%2Cf58%2Cf59%2Cf84%2Cf86%2Cf116%2Cf117%2Cf162%2Cf167；2026-09-16收盘</ns0:t>
        </ns0:is>
      </ns0:c>
      <ns0:c r="E293" s="16" t="inlineStr">
        <ns0:is>
          <ns0:t>行情；非完全摊薄股本</ns0:t>
        </ns0:is>
      </ns0:c>
    </ns0:row>
    <ns0:row r="294">
      <ns0:c r="A294" s="16" t="inlineStr">
        <ns0:is>
          <ns0:t>AUR_市值</ns0:t>
        </ns0:is>
      </ns0:c>
      <ns0:c r="B294" s="41" t="n">
        <ns0:v>12746427504.48</ns0:v>
      </ns0:c>
      <ns0:c r="C294" s="16" t="inlineStr">
        <ns0:is>
          <ns0:t>USD、股/ADS；PB接口百分缩放</ns0:t>
        </ns0:is>
      </ns0:c>
      <ns0:c r="D294" s="16" t="inlineStr">
        <ns0:is>
          <ns0:t>https://push2.eastmoney.com/api/qt/stock/get?secid=105.AUR&amp;fields=f43%2Cf57%2Cf58%2Cf59%2Cf84%2Cf86%2Cf116%2Cf117%2Cf162%2Cf167；2026-09-16收盘</ns0:t>
        </ns0:is>
      </ns0:c>
      <ns0:c r="E294" s="16" t="inlineStr">
        <ns0:is>
          <ns0:t>行情；非完全摊薄股本</ns0:t>
        </ns0:is>
      </ns0:c>
    </ns0:row>
    <ns0:row r="295">
      <ns0:c r="A295" s="16" t="inlineStr">
        <ns0:is>
          <ns0:t>AUR_股数</ns0:t>
        </ns0:is>
      </ns0:c>
      <ns0:c r="B295" s="41" t="n">
        <ns0:v>2004155268</ns0:v>
      </ns0:c>
      <ns0:c r="C295" s="16" t="inlineStr">
        <ns0:is>
          <ns0:t>USD、股/ADS；PB接口百分缩放</ns0:t>
        </ns0:is>
      </ns0:c>
      <ns0:c r="D295" s="16" t="inlineStr">
        <ns0:is>
          <ns0:t>https://push2.eastmoney.com/api/qt/stock/get?secid=105.AUR&amp;fields=f43%2Cf57%2Cf58%2Cf59%2Cf84%2Cf86%2Cf116%2Cf117%2Cf162%2Cf167；2026-09-16收盘</ns0:t>
        </ns0:is>
      </ns0:c>
      <ns0:c r="E295" s="16" t="inlineStr">
        <ns0:is>
          <ns0:t>行情；非完全摊薄股本</ns0:t>
        </ns0:is>
      </ns0:c>
    </ns0:row>
    <ns0:row r="296">
      <ns0:c r="A296" s="16" t="inlineStr">
        <ns0:is>
          <ns0:t>AUR_PB接口</ns0:t>
        </ns0:is>
      </ns0:c>
      <ns0:c r="B296" s="41" t="n">
        <ns0:v>653</ns0:v>
      </ns0:c>
      <ns0:c r="C296" s="16" t="inlineStr">
        <ns0:is>
          <ns0:t>USD、股/ADS；PB接口百分缩放</ns0:t>
        </ns0:is>
      </ns0:c>
      <ns0:c r="D296" s="16" t="inlineStr">
        <ns0:is>
          <ns0:t>https://push2.eastmoney.com/api/qt/stock/get?secid=105.AUR&amp;fields=f43%2Cf57%2Cf58%2Cf59%2Cf84%2Cf86%2Cf116%2Cf117%2Cf162%2Cf167；2026-09-16收盘</ns0:t>
        </ns0:is>
      </ns0:c>
      <ns0:c r="E296" s="16" t="inlineStr">
        <ns0:is>
          <ns0:t>行情；非完全摊薄股本</ns0:t>
        </ns0:is>
      </ns0:c>
    </ns0:row>
    <ns0:row r="297">
      <ns0:c r="A297" s="16" t="inlineStr">
        <ns0:is>
          <ns0:t>PONY_收入</ns0:t>
        </ns0:is>
      </ns0:c>
      <ns0:c r="B297" s="41" t="n">
        <ns0:v>70470</ns0:v>
      </ns0:c>
      <ns0:c r="C297" s="16" t="inlineStr">
        <ns0:is>
          <ns0:t>USD千元</ns0:t>
        </ns0:is>
      </ns0:c>
      <ns0:c r="D297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297" s="16" t="inlineStr">
        <ns0:is>
          <ns0:t>半年未经审计；capex精确值已核，Q1 12455+Q2 32163=44618</ns0:t>
        </ns0:is>
      </ns0:c>
    </ns0:row>
    <ns0:row r="298">
      <ns0:c r="A298" s="16" t="inlineStr">
        <ns0:is>
          <ns0:t>PONY_去年收入</ns0:t>
        </ns0:is>
      </ns0:c>
      <ns0:c r="B298" s="41" t="n">
        <ns0:v>35434</ns0:v>
      </ns0:c>
      <ns0:c r="C298" s="16" t="inlineStr">
        <ns0:is>
          <ns0:t>USD千元</ns0:t>
        </ns0:is>
      </ns0:c>
      <ns0:c r="D298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298" s="16" t="inlineStr">
        <ns0:is>
          <ns0:t>半年未经审计；capex精确值已核，Q1 12455+Q2 32163=44618</ns0:t>
        </ns0:is>
      </ns0:c>
    </ns0:row>
    <ns0:row r="299">
      <ns0:c r="A299" s="16" t="inlineStr">
        <ns0:is>
          <ns0:t>PONY_毛利</ns0:t>
        </ns0:is>
      </ns0:c>
      <ns0:c r="B299" s="41" t="n">
        <ns0:v>11911</ns0:v>
      </ns0:c>
      <ns0:c r="C299" s="16" t="inlineStr">
        <ns0:is>
          <ns0:t>USD千元</ns0:t>
        </ns0:is>
      </ns0:c>
      <ns0:c r="D299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299" s="16" t="inlineStr">
        <ns0:is>
          <ns0:t>半年未经审计；capex精确值已核，Q1 12455+Q2 32163=44618</ns0:t>
        </ns0:is>
      </ns0:c>
    </ns0:row>
    <ns0:row r="300">
      <ns0:c r="A300" s="16" t="inlineStr">
        <ns0:is>
          <ns0:t>PONY_净亏损</ns0:t>
        </ns0:is>
      </ns0:c>
      <ns0:c r="B300" s="41" t="n">
        <ns0:v>-98861</ns0:v>
      </ns0:c>
      <ns0:c r="C300" s="16" t="inlineStr">
        <ns0:is>
          <ns0:t>USD千元</ns0:t>
        </ns0:is>
      </ns0:c>
      <ns0:c r="D300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0" s="16" t="inlineStr">
        <ns0:is>
          <ns0:t>半年未经审计；capex精确值已核，Q1 12455+Q2 32163=44618</ns0:t>
        </ns0:is>
      </ns0:c>
    </ns0:row>
    <ns0:row r="301">
      <ns0:c r="A301" s="16" t="inlineStr">
        <ns0:is>
          <ns0:t>PONY_归母亏损</ns0:t>
        </ns0:is>
      </ns0:c>
      <ns0:c r="B301" s="41" t="n">
        <ns0:v>-110251</ns0:v>
      </ns0:c>
      <ns0:c r="C301" s="16" t="inlineStr">
        <ns0:is>
          <ns0:t>USD千元</ns0:t>
        </ns0:is>
      </ns0:c>
      <ns0:c r="D301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1" s="16" t="inlineStr">
        <ns0:is>
          <ns0:t>半年未经审计；capex精确值已核，Q1 12455+Q2 32163=44618</ns0:t>
        </ns0:is>
      </ns0:c>
    </ns0:row>
    <ns0:row r="302">
      <ns0:c r="A302" s="16" t="inlineStr">
        <ns0:is>
          <ns0:t>PONY_NCI利润</ns0:t>
        </ns0:is>
      </ns0:c>
      <ns0:c r="B302" s="41" t="n">
        <ns0:v>11390</ns0:v>
      </ns0:c>
      <ns0:c r="C302" s="16" t="inlineStr">
        <ns0:is>
          <ns0:t>USD千元</ns0:t>
        </ns0:is>
      </ns0:c>
      <ns0:c r="D302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2" s="16" t="inlineStr">
        <ns0:is>
          <ns0:t>半年未经审计；capex精确值已核，Q1 12455+Q2 32163=44618</ns0:t>
        </ns0:is>
      </ns0:c>
    </ns0:row>
    <ns0:row r="303">
      <ns0:c r="A303" s="16" t="inlineStr">
        <ns0:is>
          <ns0:t>PONY_OCF</ns0:t>
        </ns0:is>
      </ns0:c>
      <ns0:c r="B303" s="41" t="n">
        <ns0:v>-118215</ns0:v>
      </ns0:c>
      <ns0:c r="C303" s="16" t="inlineStr">
        <ns0:is>
          <ns0:t>USD千元</ns0:t>
        </ns0:is>
      </ns0:c>
      <ns0:c r="D303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3" s="16" t="inlineStr">
        <ns0:is>
          <ns0:t>半年未经审计；capex精确值已核，Q1 12455+Q2 32163=44618</ns0:t>
        </ns0:is>
      </ns0:c>
    </ns0:row>
    <ns0:row r="304">
      <ns0:c r="A304" s="16" t="inlineStr">
        <ns0:is>
          <ns0:t>PONY_去年OCF</ns0:t>
        </ns0:is>
      </ns0:c>
      <ns0:c r="B304" s="41" t="n">
        <ns0:v>-79570</ns0:v>
      </ns0:c>
      <ns0:c r="C304" s="16" t="inlineStr">
        <ns0:is>
          <ns0:t>USD千元</ns0:t>
        </ns0:is>
      </ns0:c>
      <ns0:c r="D304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4" s="16" t="inlineStr">
        <ns0:is>
          <ns0:t>半年未经审计；capex精确值已核，Q1 12455+Q2 32163=44618</ns0:t>
        </ns0:is>
      </ns0:c>
    </ns0:row>
    <ns0:row r="305">
      <ns0:c r="A305" s="16" t="inlineStr">
        <ns0:is>
          <ns0:t>PONY_capex</ns0:t>
        </ns0:is>
      </ns0:c>
      <ns0:c r="B305" s="41" t="n">
        <ns0:v>44618</ns0:v>
      </ns0:c>
      <ns0:c r="C305" s="16" t="inlineStr">
        <ns0:is>
          <ns0:t>USD千元</ns0:t>
        </ns0:is>
      </ns0:c>
      <ns0:c r="D305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5" s="16" t="inlineStr">
        <ns0:is>
          <ns0:t>半年未经审计；capex精确值已核，Q1 12455+Q2 32163=44618</ns0:t>
        </ns0:is>
      </ns0:c>
    </ns0:row>
    <ns0:row r="306">
      <ns0:c r="A306" s="16" t="inlineStr">
        <ns0:is>
          <ns0:t>PONY_去年capex</ns0:t>
        </ns0:is>
      </ns0:c>
      <ns0:c r="B306" s="41" t="n">
        <ns0:v>14464</ns0:v>
      </ns0:c>
      <ns0:c r="C306" s="16" t="inlineStr">
        <ns0:is>
          <ns0:t>USD千元</ns0:t>
        </ns0:is>
      </ns0:c>
      <ns0:c r="D306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6" s="16" t="inlineStr">
        <ns0:is>
          <ns0:t>半年未经审计；capex精确值已核，Q1 12455+Q2 32163=44618</ns0:t>
        </ns0:is>
      </ns0:c>
    </ns0:row>
    <ns0:row r="307">
      <ns0:c r="A307" s="16" t="inlineStr">
        <ns0:is>
          <ns0:t>PONY_现金</ns0:t>
        </ns0:is>
      </ns0:c>
      <ns0:c r="B307" s="41" t="n">
        <ns0:v>327111</ns0:v>
      </ns0:c>
      <ns0:c r="C307" s="16" t="inlineStr">
        <ns0:is>
          <ns0:t>USD千元</ns0:t>
        </ns0:is>
      </ns0:c>
      <ns0:c r="D307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7" s="16" t="inlineStr">
        <ns0:is>
          <ns0:t>半年未经审计；capex精确值已核，Q1 12455+Q2 32163=44618</ns0:t>
        </ns0:is>
      </ns0:c>
    </ns0:row>
    <ns0:row r="308">
      <ns0:c r="A308" s="16" t="inlineStr">
        <ns0:is>
          <ns0:t>PONY_短期投资</ns0:t>
        </ns0:is>
      </ns0:c>
      <ns0:c r="B308" s="41" t="n">
        <ns0:v>787008</ns0:v>
      </ns0:c>
      <ns0:c r="C308" s="16" t="inlineStr">
        <ns0:is>
          <ns0:t>USD千元</ns0:t>
        </ns0:is>
      </ns0:c>
      <ns0:c r="D308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8" s="16" t="inlineStr">
        <ns0:is>
          <ns0:t>半年未经审计；capex精确值已核，Q1 12455+Q2 32163=44618</ns0:t>
        </ns0:is>
      </ns0:c>
    </ns0:row>
    <ns0:row r="309">
      <ns0:c r="A309" s="16" t="inlineStr">
        <ns0:is>
          <ns0:t>PONY_受限现金流动</ns0:t>
        </ns0:is>
      </ns0:c>
      <ns0:c r="B309" s="41" t="n">
        <ns0:v>4678</ns0:v>
      </ns0:c>
      <ns0:c r="C309" s="16" t="inlineStr">
        <ns0:is>
          <ns0:t>USD千元</ns0:t>
        </ns0:is>
      </ns0:c>
      <ns0:c r="D309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09" s="16" t="inlineStr">
        <ns0:is>
          <ns0:t>半年未经审计；capex精确值已核，Q1 12455+Q2 32163=44618</ns0:t>
        </ns0:is>
      </ns0:c>
    </ns0:row>
    <ns0:row r="310">
      <ns0:c r="A310" s="16" t="inlineStr">
        <ns0:is>
          <ns0:t>PONY_受限现金非流动</ns0:t>
        </ns0:is>
      </ns0:c>
      <ns0:c r="B310" s="41" t="n">
        <ns0:v>117</ns0:v>
      </ns0:c>
      <ns0:c r="C310" s="16" t="inlineStr">
        <ns0:is>
          <ns0:t>USD千元</ns0:t>
        </ns0:is>
      </ns0:c>
      <ns0:c r="D310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0" s="16" t="inlineStr">
        <ns0:is>
          <ns0:t>半年未经审计；capex精确值已核，Q1 12455+Q2 32163=44618</ns0:t>
        </ns0:is>
      </ns0:c>
    </ns0:row>
    <ns0:row r="311">
      <ns0:c r="A311" s="16" t="inlineStr">
        <ns0:is>
          <ns0:t>PONY_长期投资</ns0:t>
        </ns0:is>
      </ns0:c>
      <ns0:c r="B311" s="41" t="n">
        <ns0:v>375660</ns0:v>
      </ns0:c>
      <ns0:c r="C311" s="16" t="inlineStr">
        <ns0:is>
          <ns0:t>USD千元</ns0:t>
        </ns0:is>
      </ns0:c>
      <ns0:c r="D311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1" s="16" t="inlineStr">
        <ns0:is>
          <ns0:t>半年未经审计；capex精确值已核，Q1 12455+Q2 32163=44618</ns0:t>
        </ns0:is>
      </ns0:c>
    </ns0:row>
    <ns0:row r="312">
      <ns0:c r="A312" s="16" t="inlineStr">
        <ns0:is>
          <ns0:t>PONY_归母权益</ns0:t>
        </ns0:is>
      </ns0:c>
      <ns0:c r="B312" s="41" t="n">
        <ns0:v>1575534</ns0:v>
      </ns0:c>
      <ns0:c r="C312" s="16" t="inlineStr">
        <ns0:is>
          <ns0:t>USD千元</ns0:t>
        </ns0:is>
      </ns0:c>
      <ns0:c r="D312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2" s="16" t="inlineStr">
        <ns0:is>
          <ns0:t>半年未经审计；capex精确值已核，Q1 12455+Q2 32163=44618</ns0:t>
        </ns0:is>
      </ns0:c>
    </ns0:row>
    <ns0:row r="313">
      <ns0:c r="A313" s="16" t="inlineStr">
        <ns0:is>
          <ns0:t>PONY_总负债</ns0:t>
        </ns0:is>
      </ns0:c>
      <ns0:c r="B313" s="41" t="n">
        <ns0:v>93005</ns0:v>
      </ns0:c>
      <ns0:c r="C313" s="16" t="inlineStr">
        <ns0:is>
          <ns0:t>USD千元</ns0:t>
        </ns0:is>
      </ns0:c>
      <ns0:c r="D313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3" s="16" t="inlineStr">
        <ns0:is>
          <ns0:t>半年未经审计；capex精确值已核，Q1 12455+Q2 32163=44618</ns0:t>
        </ns0:is>
      </ns0:c>
    </ns0:row>
    <ns0:row r="314">
      <ns0:c r="A314" s="16" t="inlineStr">
        <ns0:is>
          <ns0:t>PONY_Robotaxi</ns0:t>
        </ns0:is>
      </ns0:c>
      <ns0:c r="B314" s="41" t="n">
        <ns0:v>20643</ns0:v>
      </ns0:c>
      <ns0:c r="C314" s="16" t="inlineStr">
        <ns0:is>
          <ns0:t>USD千元</ns0:t>
        </ns0:is>
      </ns0:c>
      <ns0:c r="D314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4" s="16" t="inlineStr">
        <ns0:is>
          <ns0:t>半年未经审计；capex精确值已核，Q1 12455+Q2 32163=44618</ns0:t>
        </ns0:is>
      </ns0:c>
    </ns0:row>
    <ns0:row r="315">
      <ns0:c r="A315" s="16" t="inlineStr">
        <ns0:is>
          <ns0:t>PONY_Robotruck</ns0:t>
        </ns0:is>
      </ns0:c>
      <ns0:c r="B315" s="41" t="n">
        <ns0:v>23524</ns0:v>
      </ns0:c>
      <ns0:c r="C315" s="16" t="inlineStr">
        <ns0:is>
          <ns0:t>USD千元</ns0:t>
        </ns0:is>
      </ns0:c>
      <ns0:c r="D315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5" s="16" t="inlineStr">
        <ns0:is>
          <ns0:t>半年未经审计；capex精确值已核，Q1 12455+Q2 32163=44618</ns0:t>
        </ns0:is>
      </ns0:c>
    </ns0:row>
    <ns0:row r="316">
      <ns0:c r="A316" s="16" t="inlineStr">
        <ns0:is>
          <ns0:t>PONY_Intelligent</ns0:t>
        </ns0:is>
      </ns0:c>
      <ns0:c r="B316" s="41" t="n">
        <ns0:v>26303</ns0:v>
      </ns0:c>
      <ns0:c r="C316" s="16" t="inlineStr">
        <ns0:is>
          <ns0:t>USD千元</ns0:t>
        </ns0:is>
      </ns0:c>
      <ns0:c r="D316" s="16" t="inlineStr">
        <ns0:is>
          <ns0:t>PONY_2026Q2_webfetch.txt；官方公告三表及Non-GAAP调节表；https://ir.pony.ai/news-releases/news-release-details/pony-ai-inc-reports-second-quarter-2026-financial-results-total</ns0:t>
        </ns0:is>
      </ns0:c>
      <ns0:c r="E316" s="16" t="inlineStr">
        <ns0:is>
          <ns0:t>半年未经审计；capex精确值已核，Q1 12455+Q2 32163=44618</ns0:t>
        </ns0:is>
      </ns0:c>
    </ns0:row>
    <ns0:row r="317">
      <ns0:c r="A317" s="16" t="inlineStr">
        <ns0:is>
          <ns0:t>2023_Robotaxi及相关服务</ns0:t>
        </ns0:is>
      </ns0:c>
      <ns0:c r="B317" s="41" t="n">
        <ns0:v>29379</ns0:v>
      </ns0:c>
      <ns0:c r="C317" s="16" t="inlineStr">
        <ns0:is>
          <ns0:t>人民币千元</ns0:t>
        </ns0:is>
      </ns0:c>
      <ns0:c r="D317" s="16" t="inlineStr">
        <ns0:is>
          <ns0:t>FY2025_20F PDF页196–197/F-29–30；附注4/5；https://ir.weride.ai/system/files-encrypted/nasdaq_kms/assets/2026/04/23/10-08-17/20-F.pdf</ns0:t>
        </ns0:is>
      </ns0:c>
      <ns0:c r="E317" s="16" t="inlineStr">
        <ns0:is>
          <ns0:t>披露</ns0:t>
        </ns0:is>
      </ns0:c>
    </ns0:row>
    <ns0:row r="318">
      <ns0:c r="A318" s="16" t="inlineStr">
        <ns0:is>
          <ns0:t>2024_Robotaxi及相关服务</ns0:t>
        </ns0:is>
      </ns0:c>
      <ns0:c r="B318" s="41" t="n">
        <ns0:v>47832</ns0:v>
      </ns0:c>
      <ns0:c r="C318" s="16" t="inlineStr">
        <ns0:is>
          <ns0:t>人民币千元</ns0:t>
        </ns0:is>
      </ns0:c>
      <ns0:c r="D318" s="16" t="inlineStr">
        <ns0:is>
          <ns0:t>FY2025_20F PDF页196–197/F-29–30；附注4/5；https://ir.weride.ai/system/files-encrypted/nasdaq_kms/assets/2026/04/23/10-08-17/20-F.pdf</ns0:t>
        </ns0:is>
      </ns0:c>
      <ns0:c r="E318" s="16" t="inlineStr">
        <ns0:is>
          <ns0:t>披露</ns0:t>
        </ns0:is>
      </ns0:c>
    </ns0:row>
    <ns0:row r="319">
      <ns0:c r="A319" s="16" t="inlineStr">
        <ns0:is>
          <ns0:t>2025_Robotaxi及相关服务</ns0:t>
        </ns0:is>
      </ns0:c>
      <ns0:c r="B319" s="41" t="n">
        <ns0:v>147993</ns0:v>
      </ns0:c>
      <ns0:c r="C319" s="16" t="inlineStr">
        <ns0:is>
          <ns0:t>人民币千元</ns0:t>
        </ns0:is>
      </ns0:c>
      <ns0:c r="D319" s="16" t="inlineStr">
        <ns0:is>
          <ns0:t>FY2025_20F PDF页196–197/F-29–30；附注4/5；https://ir.weride.ai/system/files-encrypted/nasdaq_kms/assets/2026/04/23/10-08-17/20-F.pdf</ns0:t>
        </ns0:is>
      </ns0:c>
      <ns0:c r="E319" s="16" t="inlineStr">
        <ns0:is>
          <ns0:t>披露</ns0:t>
        </ns0:is>
      </ns0:c>
    </ns0:row>
    <ns0:row r="320">
      <ns0:c r="A320" s="16" t="inlineStr">
        <ns0:is>
          <ns0:t>2023_Robobus</ns0:t>
        </ns0:is>
      </ns0:c>
      <ns0:c r="B320" s="41" t="n">
        <ns0:v>94914</ns0:v>
      </ns0:c>
      <ns0:c r="C320" s="16" t="inlineStr">
        <ns0:is>
          <ns0:t>人民币千元</ns0:t>
        </ns0:is>
      </ns0:c>
      <ns0:c r="D320" s="16" t="inlineStr">
        <ns0:is>
          <ns0:t>FY2025_20F PDF页196–197/F-29–30；附注4/5；https://ir.weride.ai/system/files-encrypted/nasdaq_kms/assets/2026/04/23/10-08-17/20-F.pdf</ns0:t>
        </ns0:is>
      </ns0:c>
      <ns0:c r="E320" s="16" t="inlineStr">
        <ns0:is>
          <ns0:t>披露</ns0:t>
        </ns0:is>
      </ns0:c>
    </ns0:row>
    <ns0:row r="321">
      <ns0:c r="A321" s="16" t="inlineStr">
        <ns0:is>
          <ns0:t>2024_Robobus</ns0:t>
        </ns0:is>
      </ns0:c>
      <ns0:c r="B321" s="41" t="n">
        <ns0:v>79688</ns0:v>
      </ns0:c>
      <ns0:c r="C321" s="16" t="inlineStr">
        <ns0:is>
          <ns0:t>人民币千元</ns0:t>
        </ns0:is>
      </ns0:c>
      <ns0:c r="D321" s="16" t="inlineStr">
        <ns0:is>
          <ns0:t>FY2025_20F PDF页196–197/F-29–30；附注4/5；https://ir.weride.ai/system/files-encrypted/nasdaq_kms/assets/2026/04/23/10-08-17/20-F.pdf</ns0:t>
        </ns0:is>
      </ns0:c>
      <ns0:c r="E321" s="16" t="inlineStr">
        <ns0:is>
          <ns0:t>披露</ns0:t>
        </ns0:is>
      </ns0:c>
    </ns0:row>
    <ns0:row r="322">
      <ns0:c r="A322" s="16" t="inlineStr">
        <ns0:is>
          <ns0:t>2025_Robobus</ns0:t>
        </ns0:is>
      </ns0:c>
      <ns0:c r="B322" s="41" t="n">
        <ns0:v>231473</ns0:v>
      </ns0:c>
      <ns0:c r="C322" s="16" t="inlineStr">
        <ns0:is>
          <ns0:t>人民币千元</ns0:t>
        </ns0:is>
      </ns0:c>
      <ns0:c r="D322" s="16" t="inlineStr">
        <ns0:is>
          <ns0:t>FY2025_20F PDF页196–197/F-29–30；附注4/5；https://ir.weride.ai/system/files-encrypted/nasdaq_kms/assets/2026/04/23/10-08-17/20-F.pdf</ns0:t>
        </ns0:is>
      </ns0:c>
      <ns0:c r="E322" s="16" t="inlineStr">
        <ns0:is>
          <ns0:t>披露</ns0:t>
        </ns0:is>
      </ns0:c>
    </ns0:row>
    <ns0:row r="323">
      <ns0:c r="A323" s="16" t="inlineStr">
        <ns0:is>
          <ns0:t>2023_Robosweeper</ns0:t>
        </ns0:is>
      </ns0:c>
      <ns0:c r="B323" s="41" t="n">
        <ns0:v>7642</ns0:v>
      </ns0:c>
      <ns0:c r="C323" s="16" t="inlineStr">
        <ns0:is>
          <ns0:t>人民币千元</ns0:t>
        </ns0:is>
      </ns0:c>
      <ns0:c r="D323" s="16" t="inlineStr">
        <ns0:is>
          <ns0:t>FY2025_20F PDF页196–197/F-29–30；附注4/5；https://ir.weride.ai/system/files-encrypted/nasdaq_kms/assets/2026/04/23/10-08-17/20-F.pdf</ns0:t>
        </ns0:is>
      </ns0:c>
      <ns0:c r="E323" s="16" t="inlineStr">
        <ns0:is>
          <ns0:t>披露</ns0:t>
        </ns0:is>
      </ns0:c>
    </ns0:row>
    <ns0:row r="324">
      <ns0:c r="A324" s="16" t="inlineStr">
        <ns0:is>
          <ns0:t>2024_Robosweeper</ns0:t>
        </ns0:is>
      </ns0:c>
      <ns0:c r="B324" s="41" t="n">
        <ns0:v>55320</ns0:v>
      </ns0:c>
      <ns0:c r="C324" s="16" t="inlineStr">
        <ns0:is>
          <ns0:t>人民币千元</ns0:t>
        </ns0:is>
      </ns0:c>
      <ns0:c r="D324" s="16" t="inlineStr">
        <ns0:is>
          <ns0:t>FY2025_20F PDF页196–197/F-29–30；附注4/5；https://ir.weride.ai/system/files-encrypted/nasdaq_kms/assets/2026/04/23/10-08-17/20-F.pdf</ns0:t>
        </ns0:is>
      </ns0:c>
      <ns0:c r="E324" s="16" t="inlineStr">
        <ns0:is>
          <ns0:t>披露</ns0:t>
        </ns0:is>
      </ns0:c>
    </ns0:row>
    <ns0:row r="325">
      <ns0:c r="A325" s="16" t="inlineStr">
        <ns0:is>
          <ns0:t>2025_Robosweeper</ns0:t>
        </ns0:is>
      </ns0:c>
      <ns0:c r="B325" s="41" t="n">
        <ns0:v>96083</ns0:v>
      </ns0:c>
      <ns0:c r="C325" s="16" t="inlineStr">
        <ns0:is>
          <ns0:t>人民币千元</ns0:t>
        </ns0:is>
      </ns0:c>
      <ns0:c r="D325" s="16" t="inlineStr">
        <ns0:is>
          <ns0:t>FY2025_20F PDF页196–197/F-29–30；附注4/5；https://ir.weride.ai/system/files-encrypted/nasdaq_kms/assets/2026/04/23/10-08-17/20-F.pdf</ns0:t>
        </ns0:is>
      </ns0:c>
      <ns0:c r="E325" s="16" t="inlineStr">
        <ns0:is>
          <ns0:t>披露</ns0:t>
        </ns0:is>
      </ns0:c>
    </ns0:row>
    <ns0:row r="326">
      <ns0:c r="A326" s="16" t="inlineStr">
        <ns0:is>
          <ns0:t>2023_Robovan</ns0:t>
        </ns0:is>
      </ns0:c>
      <ns0:c r="B326" s="41" t="n">
        <ns0:v>7540</ns0:v>
      </ns0:c>
      <ns0:c r="C326" s="16" t="inlineStr">
        <ns0:is>
          <ns0:t>人民币千元</ns0:t>
        </ns0:is>
      </ns0:c>
      <ns0:c r="D326" s="16" t="inlineStr">
        <ns0:is>
          <ns0:t>FY2025_20F PDF页196–197/F-29–30；附注4/5；https://ir.weride.ai/system/files-encrypted/nasdaq_kms/assets/2026/04/23/10-08-17/20-F.pdf</ns0:t>
        </ns0:is>
      </ns0:c>
      <ns0:c r="E326" s="16" t="inlineStr">
        <ns0:is>
          <ns0:t>披露</ns0:t>
        </ns0:is>
      </ns0:c>
    </ns0:row>
    <ns0:row r="327">
      <ns0:c r="A327" s="16" t="inlineStr">
        <ns0:is>
          <ns0:t>2024_Robovan</ns0:t>
        </ns0:is>
      </ns0:c>
      <ns0:c r="B327" s="41" t="n">
        <ns0:v>13393</ns0:v>
      </ns0:c>
      <ns0:c r="C327" s="16" t="inlineStr">
        <ns0:is>
          <ns0:t>人民币千元</ns0:t>
        </ns0:is>
      </ns0:c>
      <ns0:c r="D327" s="16" t="inlineStr">
        <ns0:is>
          <ns0:t>FY2025_20F PDF页196–197/F-29–30；附注4/5；https://ir.weride.ai/system/files-encrypted/nasdaq_kms/assets/2026/04/23/10-08-17/20-F.pdf</ns0:t>
        </ns0:is>
      </ns0:c>
      <ns0:c r="E327" s="16" t="inlineStr">
        <ns0:is>
          <ns0:t>披露</ns0:t>
        </ns0:is>
      </ns0:c>
    </ns0:row>
    <ns0:row r="328">
      <ns0:c r="A328" s="16" t="inlineStr">
        <ns0:is>
          <ns0:t>2025_Robovan</ns0:t>
        </ns0:is>
      </ns0:c>
      <ns0:c r="B328" s="41" t="n">
        <ns0:v>10493</ns0:v>
      </ns0:c>
      <ns0:c r="C328" s="16" t="inlineStr">
        <ns0:is>
          <ns0:t>人民币千元</ns0:t>
        </ns0:is>
      </ns0:c>
      <ns0:c r="D328" s="16" t="inlineStr">
        <ns0:is>
          <ns0:t>FY2025_20F PDF页196–197/F-29–30；附注4/5；https://ir.weride.ai/system/files-encrypted/nasdaq_kms/assets/2026/04/23/10-08-17/20-F.pdf</ns0:t>
        </ns0:is>
      </ns0:c>
      <ns0:c r="E328" s="16" t="inlineStr">
        <ns0:is>
          <ns0:t>披露</ns0:t>
        </ns0:is>
      </ns0:c>
    </ns0:row>
    <ns0:row r="329">
      <ns0:c r="A329" s="16" t="inlineStr">
        <ns0:is>
          <ns0:t>2023_其他技术服务</ns0:t>
        </ns0:is>
      </ns0:c>
      <ns0:c r="B329" s="41" t="n">
        <ns0:v>262369</ns0:v>
      </ns0:c>
      <ns0:c r="C329" s="16" t="inlineStr">
        <ns0:is>
          <ns0:t>人民币千元</ns0:t>
        </ns0:is>
      </ns0:c>
      <ns0:c r="D329" s="16" t="inlineStr">
        <ns0:is>
          <ns0:t>FY2025_20F PDF页196–197/F-29–30；附注4/5；https://ir.weride.ai/system/files-encrypted/nasdaq_kms/assets/2026/04/23/10-08-17/20-F.pdf</ns0:t>
        </ns0:is>
      </ns0:c>
      <ns0:c r="E329" s="16" t="inlineStr">
        <ns0:is>
          <ns0:t>披露</ns0:t>
        </ns0:is>
      </ns0:c>
    </ns0:row>
    <ns0:row r="330">
      <ns0:c r="A330" s="16" t="inlineStr">
        <ns0:is>
          <ns0:t>2024_其他技术服务</ns0:t>
        </ns0:is>
      </ns0:c>
      <ns0:c r="B330" s="41" t="n">
        <ns0:v>164901</ns0:v>
      </ns0:c>
      <ns0:c r="C330" s="16" t="inlineStr">
        <ns0:is>
          <ns0:t>人民币千元</ns0:t>
        </ns0:is>
      </ns0:c>
      <ns0:c r="D330" s="16" t="inlineStr">
        <ns0:is>
          <ns0:t>FY2025_20F PDF页196–197/F-29–30；附注4/5；https://ir.weride.ai/system/files-encrypted/nasdaq_kms/assets/2026/04/23/10-08-17/20-F.pdf</ns0:t>
        </ns0:is>
      </ns0:c>
      <ns0:c r="E330" s="16" t="inlineStr">
        <ns0:is>
          <ns0:t>披露</ns0:t>
        </ns0:is>
      </ns0:c>
    </ns0:row>
    <ns0:row r="331">
      <ns0:c r="A331" s="16" t="inlineStr">
        <ns0:is>
          <ns0:t>2025_其他技术服务</ns0:t>
        </ns0:is>
      </ns0:c>
      <ns0:c r="B331" s="41" t="n">
        <ns0:v>198545</ns0:v>
      </ns0:c>
      <ns0:c r="C331" s="16" t="inlineStr">
        <ns0:is>
          <ns0:t>人民币千元</ns0:t>
        </ns0:is>
      </ns0:c>
      <ns0:c r="D331" s="16" t="inlineStr">
        <ns0:is>
          <ns0:t>FY2025_20F PDF页196–197/F-29–30；附注4/5；https://ir.weride.ai/system/files-encrypted/nasdaq_kms/assets/2026/04/23/10-08-17/20-F.pdf</ns0:t>
        </ns0:is>
      </ns0:c>
      <ns0:c r="E331" s="16" t="inlineStr">
        <ns0:is>
          <ns0:t>披露</ns0:t>
        </ns0:is>
      </ns0:c>
    </ns0:row>
    <ns0:row r="332">
      <ns0:c r="A332" s="16" t="inlineStr">
        <ns0:is>
          <ns0:t>2023_海外</ns0:t>
        </ns0:is>
      </ns0:c>
      <ns0:c r="B332" s="41" t="n">
        <ns0:v>23832</ns0:v>
      </ns0:c>
      <ns0:c r="C332" s="16" t="inlineStr">
        <ns0:is>
          <ns0:t>人民币千元</ns0:t>
        </ns0:is>
      </ns0:c>
      <ns0:c r="D332" s="16" t="inlineStr">
        <ns0:is>
          <ns0:t>FY2025_20F PDF页196–197/F-29–30；附注4/5；https://ir.weride.ai/system/files-encrypted/nasdaq_kms/assets/2026/04/23/10-08-17/20-F.pdf</ns0:t>
        </ns0:is>
      </ns0:c>
      <ns0:c r="E332" s="16" t="inlineStr">
        <ns0:is>
          <ns0:t>披露</ns0:t>
        </ns0:is>
      </ns0:c>
    </ns0:row>
    <ns0:row r="333">
      <ns0:c r="A333" s="16" t="inlineStr">
        <ns0:is>
          <ns0:t>2024_海外</ns0:t>
        </ns0:is>
      </ns0:c>
      <ns0:c r="B333" s="41" t="n">
        <ns0:v>49364</ns0:v>
      </ns0:c>
      <ns0:c r="C333" s="16" t="inlineStr">
        <ns0:is>
          <ns0:t>人民币千元</ns0:t>
        </ns0:is>
      </ns0:c>
      <ns0:c r="D333" s="16" t="inlineStr">
        <ns0:is>
          <ns0:t>FY2025_20F PDF页196–197/F-29–30；附注4/5；https://ir.weride.ai/system/files-encrypted/nasdaq_kms/assets/2026/04/23/10-08-17/20-F.pdf</ns0:t>
        </ns0:is>
      </ns0:c>
      <ns0:c r="E333" s="16" t="inlineStr">
        <ns0:is>
          <ns0:t>披露</ns0:t>
        </ns0:is>
      </ns0:c>
    </ns0:row>
    <ns0:row r="334">
      <ns0:c r="A334" s="16" t="inlineStr">
        <ns0:is>
          <ns0:t>2025_海外</ns0:t>
        </ns0:is>
      </ns0:c>
      <ns0:c r="B334" s="41" t="n">
        <ns0:v>199761</ns0:v>
      </ns0:c>
      <ns0:c r="C334" s="16" t="inlineStr">
        <ns0:is>
          <ns0:t>人民币千元</ns0:t>
        </ns0:is>
      </ns0:c>
      <ns0:c r="D334" s="16" t="inlineStr">
        <ns0:is>
          <ns0:t>FY2025_20F PDF页196–197/F-29–30；附注4/5；https://ir.weride.ai/system/files-encrypted/nasdaq_kms/assets/2026/04/23/10-08-17/20-F.pdf</ns0:t>
        </ns0:is>
      </ns0:c>
      <ns0:c r="E334" s="16" t="inlineStr">
        <ns0:is>
          <ns0:t>披露</ns0:t>
        </ns0:is>
      </ns0:c>
    </ns0:row>
    <ns0:row r="335">
      <ns0:c r="A335" s="16" t="inlineStr">
        <ns0:is>
          <ns0:t>H12025_L4</ns0:t>
        </ns0:is>
      </ns0:c>
      <ns0:c r="B335" s="41" t="n">
        <ns0:v>123932</ns0:v>
      </ns0:c>
      <ns0:c r="C335" s="16" t="inlineStr">
        <ns0:is>
          <ns0:t>人民币千元</ns0:t>
        </ns0:is>
      </ns0:c>
      <ns0:c r="D335" s="16" t="inlineStr">
        <ns0:is>
          <ns0:t>2026H1_interim PDF页57–59/56–58；附注3/4；https://www.hkexnews.hk/listedco/listconews/sehk/2026/0914/2026091401019.pdf</ns0:t>
        </ns0:is>
      </ns0:c>
      <ns0:c r="E335" s="16" t="inlineStr">
        <ns0:is>
          <ns0:t>披露</ns0:t>
        </ns0:is>
      </ns0:c>
    </ns0:row>
    <ns0:row r="336">
      <ns0:c r="A336" s="16" t="inlineStr">
        <ns0:is>
          <ns0:t>H12026_L4</ns0:t>
        </ns0:is>
      </ns0:c>
      <ns0:c r="B336" s="41" t="n">
        <ns0:v>179475</ns0:v>
      </ns0:c>
      <ns0:c r="C336" s="16" t="inlineStr">
        <ns0:is>
          <ns0:t>人民币千元</ns0:t>
        </ns0:is>
      </ns0:c>
      <ns0:c r="D336" s="16" t="inlineStr">
        <ns0:is>
          <ns0:t>2026H1_interim PDF页57–59/56–58；附注3/4；https://www.hkexnews.hk/listedco/listconews/sehk/2026/0914/2026091401019.pdf</ns0:t>
        </ns0:is>
      </ns0:c>
      <ns0:c r="E336" s="16" t="inlineStr">
        <ns0:is>
          <ns0:t>披露</ns0:t>
        </ns0:is>
      </ns0:c>
    </ns0:row>
    <ns0:row r="337">
      <ns0:c r="A337" s="16" t="inlineStr">
        <ns0:is>
          <ns0:t>H12025_其他业务</ns0:t>
        </ns0:is>
      </ns0:c>
      <ns0:c r="B337" s="41" t="n">
        <ns0:v>75683</ns0:v>
      </ns0:c>
      <ns0:c r="C337" s="16" t="inlineStr">
        <ns0:is>
          <ns0:t>人民币千元</ns0:t>
        </ns0:is>
      </ns0:c>
      <ns0:c r="D337" s="16" t="inlineStr">
        <ns0:is>
          <ns0:t>2026H1_interim PDF页57–59/56–58；附注3/4；https://www.hkexnews.hk/listedco/listconews/sehk/2026/0914/2026091401019.pdf</ns0:t>
        </ns0:is>
      </ns0:c>
      <ns0:c r="E337" s="16" t="inlineStr">
        <ns0:is>
          <ns0:t>披露</ns0:t>
        </ns0:is>
      </ns0:c>
    </ns0:row>
    <ns0:row r="338">
      <ns0:c r="A338" s="16" t="inlineStr">
        <ns0:is>
          <ns0:t>H12026_其他业务</ns0:t>
        </ns0:is>
      </ns0:c>
      <ns0:c r="B338" s="41" t="n">
        <ns0:v>166382</ns0:v>
      </ns0:c>
      <ns0:c r="C338" s="16" t="inlineStr">
        <ns0:is>
          <ns0:t>人民币千元</ns0:t>
        </ns0:is>
      </ns0:c>
      <ns0:c r="D338" s="16" t="inlineStr">
        <ns0:is>
          <ns0:t>2026H1_interim PDF页57–59/56–58；附注3/4；https://www.hkexnews.hk/listedco/listconews/sehk/2026/0914/2026091401019.pdf</ns0:t>
        </ns0:is>
      </ns0:c>
      <ns0:c r="E338" s="16" t="inlineStr">
        <ns0:is>
          <ns0:t>披露</ns0:t>
        </ns0:is>
      </ns0:c>
    </ns0:row>
    <ns0:row r="339">
      <ns0:c r="A339" s="16" t="inlineStr">
        <ns0:is>
          <ns0:t>H12025_海外</ns0:t>
        </ns0:is>
      </ns0:c>
      <ns0:c r="B339" s="41" t="n">
        <ns0:v>46929</ns0:v>
      </ns0:c>
      <ns0:c r="C339" s="16" t="inlineStr">
        <ns0:is>
          <ns0:t>人民币千元</ns0:t>
        </ns0:is>
      </ns0:c>
      <ns0:c r="D339" s="16" t="inlineStr">
        <ns0:is>
          <ns0:t>2026H1_interim PDF页57–59/56–58；附注3/4；https://www.hkexnews.hk/listedco/listconews/sehk/2026/0914/2026091401019.pdf</ns0:t>
        </ns0:is>
      </ns0:c>
      <ns0:c r="E339" s="16" t="inlineStr">
        <ns0:is>
          <ns0:t>披露</ns0:t>
        </ns0:is>
      </ns0:c>
    </ns0:row>
    <ns0:row r="340">
      <ns0:c r="A340" s="16" t="inlineStr">
        <ns0:is>
          <ns0:t>H12026_海外</ns0:t>
        </ns0:is>
      </ns0:c>
      <ns0:c r="B340" s="41" t="n">
        <ns0:v>119299</ns0:v>
      </ns0:c>
      <ns0:c r="C340" s="16" t="inlineStr">
        <ns0:is>
          <ns0:t>人民币千元</ns0:t>
        </ns0:is>
      </ns0:c>
      <ns0:c r="D340" s="16" t="inlineStr">
        <ns0:is>
          <ns0:t>2026H1_interim PDF页57–59/56–58；附注3/4；https://www.hkexnews.hk/listedco/listconews/sehk/2026/0914/2026091401019.pdf</ns0:t>
        </ns0:is>
      </ns0:c>
      <ns0:c r="E340" s="16" t="inlineStr">
        <ns0:is>
          <ns0:t>披露</ns0:t>
        </ns0:is>
      </ns0:c>
    </ns0:row>
    <ns0:row r="341">
      <ns0:c r="A341" s="16" t="inlineStr">
        <ns0:is>
          <ns0:t>悲观增速低</ns0:t>
        </ns0:is>
      </ns0:c>
      <ns0:c r="B341" s="41" t="n">
        <ns0:v>0.1</ns0:v>
      </ns0:c>
      <ns0:c r="C341" s="16" t="inlineStr">
        <ns0:is>
          <ns0:t>比率/倍数</ns0:t>
        </ns0:is>
      </ns0:c>
      <ns0:c r="D341" s="16" t="inlineStr">
        <ns0:is>
          <ns0:t>本报告T5探索情景假设：硬件/项目混合业务，非公司指引；PE档不适用</ns0:t>
        </ns0:is>
      </ns0:c>
      <ns0:c r="E341" s="16" t="inlineStr">
        <ns0:is>
          <ns0:t>估算假设</ns0:t>
        </ns0:is>
      </ns0:c>
    </ns0:row>
    <ns0:row r="342">
      <ns0:c r="A342" s="16" t="inlineStr">
        <ns0:is>
          <ns0:t>悲观增速高</ns0:t>
        </ns0:is>
      </ns0:c>
      <ns0:c r="B342" s="41" t="n">
        <ns0:v>0.15</ns0:v>
      </ns0:c>
      <ns0:c r="C342" s="16" t="inlineStr">
        <ns0:is>
          <ns0:t>比率/倍数</ns0:t>
        </ns0:is>
      </ns0:c>
      <ns0:c r="D342" s="16" t="inlineStr">
        <ns0:is>
          <ns0:t>本报告T5探索情景假设：硬件/项目混合业务，非公司指引；PE档不适用</ns0:t>
        </ns0:is>
      </ns0:c>
      <ns0:c r="E342" s="16" t="inlineStr">
        <ns0:is>
          <ns0:t>估算假设</ns0:t>
        </ns0:is>
      </ns0:c>
    </ns0:row>
    <ns0:row r="343">
      <ns0:c r="A343" s="16" t="inlineStr">
        <ns0:is>
          <ns0:t>悲观PS低</ns0:t>
        </ns0:is>
      </ns0:c>
      <ns0:c r="B343" s="41" t="n">
        <ns0:v>1</ns0:v>
      </ns0:c>
      <ns0:c r="C343" s="16" t="inlineStr">
        <ns0:is>
          <ns0:t>比率/倍数</ns0:t>
        </ns0:is>
      </ns0:c>
      <ns0:c r="D343" s="16" t="inlineStr">
        <ns0:is>
          <ns0:t>本报告T5探索情景假设：硬件/项目混合业务，非公司指引；PE档不适用</ns0:t>
        </ns0:is>
      </ns0:c>
      <ns0:c r="E343" s="16" t="inlineStr">
        <ns0:is>
          <ns0:t>估算假设</ns0:t>
        </ns0:is>
      </ns0:c>
    </ns0:row>
    <ns0:row r="344">
      <ns0:c r="A344" s="16" t="inlineStr">
        <ns0:is>
          <ns0:t>悲观PS高</ns0:t>
        </ns0:is>
      </ns0:c>
      <ns0:c r="B344" s="41" t="n">
        <ns0:v>2</ns0:v>
      </ns0:c>
      <ns0:c r="C344" s="16" t="inlineStr">
        <ns0:is>
          <ns0:t>比率/倍数</ns0:t>
        </ns0:is>
      </ns0:c>
      <ns0:c r="D344" s="16" t="inlineStr">
        <ns0:is>
          <ns0:t>本报告T5探索情景假设：硬件/项目混合业务，非公司指引；PE档不适用</ns0:t>
        </ns0:is>
      </ns0:c>
      <ns0:c r="E344" s="16" t="inlineStr">
        <ns0:is>
          <ns0:t>估算假设</ns0:t>
        </ns0:is>
      </ns0:c>
    </ns0:row>
    <ns0:row r="345">
      <ns0:c r="A345" s="16" t="inlineStr">
        <ns0:is>
          <ns0:t>悲观稀释</ns0:t>
        </ns0:is>
      </ns0:c>
      <ns0:c r="B345" s="41" t="n">
        <ns0:v>0.35</ns0:v>
      </ns0:c>
      <ns0:c r="C345" s="16" t="inlineStr">
        <ns0:is>
          <ns0:t>比率/倍数</ns0:t>
        </ns0:is>
      </ns0:c>
      <ns0:c r="D345" s="16" t="inlineStr">
        <ns0:is>
          <ns0:t>本报告T5探索情景假设：硬件/项目混合业务，非公司指引；PE档不适用</ns0:t>
        </ns0:is>
      </ns0:c>
      <ns0:c r="E345" s="16" t="inlineStr">
        <ns0:is>
          <ns0:t>估算假设</ns0:t>
        </ns0:is>
      </ns0:c>
    </ns0:row>
    <ns0:row r="346">
      <ns0:c r="A346" s="16" t="inlineStr">
        <ns0:is>
          <ns0:t>中性增速低</ns0:t>
        </ns0:is>
      </ns0:c>
      <ns0:c r="B346" s="41" t="n">
        <ns0:v>0.25</ns0:v>
      </ns0:c>
      <ns0:c r="C346" s="16" t="inlineStr">
        <ns0:is>
          <ns0:t>比率/倍数</ns0:t>
        </ns0:is>
      </ns0:c>
      <ns0:c r="D346" s="16" t="inlineStr">
        <ns0:is>
          <ns0:t>本报告T5探索情景假设：硬件/项目混合业务，非公司指引；PE档不适用</ns0:t>
        </ns0:is>
      </ns0:c>
      <ns0:c r="E346" s="16" t="inlineStr">
        <ns0:is>
          <ns0:t>估算假设</ns0:t>
        </ns0:is>
      </ns0:c>
    </ns0:row>
    <ns0:row r="347">
      <ns0:c r="A347" s="16" t="inlineStr">
        <ns0:is>
          <ns0:t>中性增速高</ns0:t>
        </ns0:is>
      </ns0:c>
      <ns0:c r="B347" s="41" t="n">
        <ns0:v>0.3</ns0:v>
      </ns0:c>
      <ns0:c r="C347" s="16" t="inlineStr">
        <ns0:is>
          <ns0:t>比率/倍数</ns0:t>
        </ns0:is>
      </ns0:c>
      <ns0:c r="D347" s="16" t="inlineStr">
        <ns0:is>
          <ns0:t>本报告T5探索情景假设：硬件/项目混合业务，非公司指引；PE档不适用</ns0:t>
        </ns0:is>
      </ns0:c>
      <ns0:c r="E347" s="16" t="inlineStr">
        <ns0:is>
          <ns0:t>估算假设</ns0:t>
        </ns0:is>
      </ns0:c>
    </ns0:row>
    <ns0:row r="348">
      <ns0:c r="A348" s="16" t="inlineStr">
        <ns0:is>
          <ns0:t>中性PS低</ns0:t>
        </ns0:is>
      </ns0:c>
      <ns0:c r="B348" s="41" t="n">
        <ns0:v>3</ns0:v>
      </ns0:c>
      <ns0:c r="C348" s="16" t="inlineStr">
        <ns0:is>
          <ns0:t>比率/倍数</ns0:t>
        </ns0:is>
      </ns0:c>
      <ns0:c r="D348" s="16" t="inlineStr">
        <ns0:is>
          <ns0:t>本报告T5探索情景假设：硬件/项目混合业务，非公司指引；PE档不适用</ns0:t>
        </ns0:is>
      </ns0:c>
      <ns0:c r="E348" s="16" t="inlineStr">
        <ns0:is>
          <ns0:t>估算假设</ns0:t>
        </ns0:is>
      </ns0:c>
    </ns0:row>
    <ns0:row r="349">
      <ns0:c r="A349" s="16" t="inlineStr">
        <ns0:is>
          <ns0:t>中性PS高</ns0:t>
        </ns0:is>
      </ns0:c>
      <ns0:c r="B349" s="41" t="n">
        <ns0:v>4</ns0:v>
      </ns0:c>
      <ns0:c r="C349" s="16" t="inlineStr">
        <ns0:is>
          <ns0:t>比率/倍数</ns0:t>
        </ns0:is>
      </ns0:c>
      <ns0:c r="D349" s="16" t="inlineStr">
        <ns0:is>
          <ns0:t>本报告T5探索情景假设：硬件/项目混合业务，非公司指引；PE档不适用</ns0:t>
        </ns0:is>
      </ns0:c>
      <ns0:c r="E349" s="16" t="inlineStr">
        <ns0:is>
          <ns0:t>估算假设</ns0:t>
        </ns0:is>
      </ns0:c>
    </ns0:row>
    <ns0:row r="350">
      <ns0:c r="A350" s="16" t="inlineStr">
        <ns0:is>
          <ns0:t>中性稀释</ns0:t>
        </ns0:is>
      </ns0:c>
      <ns0:c r="B350" s="41" t="n">
        <ns0:v>0.2</ns0:v>
      </ns0:c>
      <ns0:c r="C350" s="16" t="inlineStr">
        <ns0:is>
          <ns0:t>比率/倍数</ns0:t>
        </ns0:is>
      </ns0:c>
      <ns0:c r="D350" s="16" t="inlineStr">
        <ns0:is>
          <ns0:t>本报告T5探索情景假设：硬件/项目混合业务，非公司指引；PE档不适用</ns0:t>
        </ns0:is>
      </ns0:c>
      <ns0:c r="E350" s="16" t="inlineStr">
        <ns0:is>
          <ns0:t>估算假设</ns0:t>
        </ns0:is>
      </ns0:c>
    </ns0:row>
    <ns0:row r="351">
      <ns0:c r="A351" s="16" t="inlineStr">
        <ns0:is>
          <ns0:t>乐观增速低</ns0:t>
        </ns0:is>
      </ns0:c>
      <ns0:c r="B351" s="41" t="n">
        <ns0:v>0.35</ns0:v>
      </ns0:c>
      <ns0:c r="C351" s="16" t="inlineStr">
        <ns0:is>
          <ns0:t>比率/倍数</ns0:t>
        </ns0:is>
      </ns0:c>
      <ns0:c r="D351" s="16" t="inlineStr">
        <ns0:is>
          <ns0:t>本报告T5探索情景假设：硬件/项目混合业务，非公司指引；PE档不适用</ns0:t>
        </ns0:is>
      </ns0:c>
      <ns0:c r="E351" s="16" t="inlineStr">
        <ns0:is>
          <ns0:t>估算假设</ns0:t>
        </ns0:is>
      </ns0:c>
    </ns0:row>
    <ns0:row r="352">
      <ns0:c r="A352" s="16" t="inlineStr">
        <ns0:is>
          <ns0:t>乐观增速高</ns0:t>
        </ns0:is>
      </ns0:c>
      <ns0:c r="B352" s="41" t="n">
        <ns0:v>0.4</ns0:v>
      </ns0:c>
      <ns0:c r="C352" s="16" t="inlineStr">
        <ns0:is>
          <ns0:t>比率/倍数</ns0:t>
        </ns0:is>
      </ns0:c>
      <ns0:c r="D352" s="16" t="inlineStr">
        <ns0:is>
          <ns0:t>本报告T5探索情景假设：硬件/项目混合业务，非公司指引；PE档不适用</ns0:t>
        </ns0:is>
      </ns0:c>
      <ns0:c r="E352" s="16" t="inlineStr">
        <ns0:is>
          <ns0:t>估算假设</ns0:t>
        </ns0:is>
      </ns0:c>
    </ns0:row>
    <ns0:row r="353">
      <ns0:c r="A353" s="16" t="inlineStr">
        <ns0:is>
          <ns0:t>乐观PS低</ns0:t>
        </ns0:is>
      </ns0:c>
      <ns0:c r="B353" s="41" t="n">
        <ns0:v>5</ns0:v>
      </ns0:c>
      <ns0:c r="C353" s="16" t="inlineStr">
        <ns0:is>
          <ns0:t>比率/倍数</ns0:t>
        </ns0:is>
      </ns0:c>
      <ns0:c r="D353" s="16" t="inlineStr">
        <ns0:is>
          <ns0:t>本报告T5探索情景假设：硬件/项目混合业务，非公司指引；PE档不适用</ns0:t>
        </ns0:is>
      </ns0:c>
      <ns0:c r="E353" s="16" t="inlineStr">
        <ns0:is>
          <ns0:t>估算假设</ns0:t>
        </ns0:is>
      </ns0:c>
    </ns0:row>
    <ns0:row r="354">
      <ns0:c r="A354" s="16" t="inlineStr">
        <ns0:is>
          <ns0:t>乐观PS高</ns0:t>
        </ns0:is>
      </ns0:c>
      <ns0:c r="B354" s="41" t="n">
        <ns0:v>6</ns0:v>
      </ns0:c>
      <ns0:c r="C354" s="16" t="inlineStr">
        <ns0:is>
          <ns0:t>比率/倍数</ns0:t>
        </ns0:is>
      </ns0:c>
      <ns0:c r="D354" s="16" t="inlineStr">
        <ns0:is>
          <ns0:t>本报告T5探索情景假设：硬件/项目混合业务，非公司指引；PE档不适用</ns0:t>
        </ns0:is>
      </ns0:c>
      <ns0:c r="E354" s="16" t="inlineStr">
        <ns0:is>
          <ns0:t>估算假设</ns0:t>
        </ns0:is>
      </ns0:c>
    </ns0:row>
    <ns0:row r="355">
      <ns0:c r="A355" s="16" t="inlineStr">
        <ns0:is>
          <ns0:t>乐观稀释</ns0:t>
        </ns0:is>
      </ns0:c>
      <ns0:c r="B355" s="41" t="n">
        <ns0:v>0.1</ns0:v>
      </ns0:c>
      <ns0:c r="C355" s="16" t="inlineStr">
        <ns0:is>
          <ns0:t>比率/倍数</ns0:t>
        </ns0:is>
      </ns0:c>
      <ns0:c r="D355" s="16" t="inlineStr">
        <ns0:is>
          <ns0:t>本报告T5探索情景假设：硬件/项目混合业务，非公司指引；PE档不适用</ns0:t>
        </ns0:is>
      </ns0:c>
      <ns0:c r="E355" s="16" t="inlineStr">
        <ns0:is>
          <ns0:t>估算假设</ns0:t>
        </ns0:is>
      </ns0:c>
    </ns0:row>
    <ns0:row r="356">
      <ns0:c r="A356" s="16" t="inlineStr">
        <ns0:is>
          <ns0:t>PB档0.8</ns0:t>
        </ns0:is>
      </ns0:c>
      <ns0:c r="B356" s="41" t="n">
        <ns0:v>0.8</ns0:v>
      </ns0:c>
      <ns0:c r="C356" s="16" t="inlineStr">
        <ns0:is>
          <ns0:t>倍</ns0:t>
        </ns0:is>
      </ns0:c>
      <ns0:c r="D356" s="16" t="inlineStr">
        <ns0:is>
          <ns0:t>本报告账面敏感性假设</ns0:t>
        </ns0:is>
      </ns0:c>
      <ns0:c r="E356" s="16" t="inlineStr">
        <ns0:is>
          <ns0:t>假设</ns0:t>
        </ns0:is>
      </ns0:c>
    </ns0:row>
    <ns0:row r="357">
      <ns0:c r="A357" s="16" t="inlineStr">
        <ns0:is>
          <ns0:t>PB档1</ns0:t>
        </ns0:is>
      </ns0:c>
      <ns0:c r="B357" s="41" t="n">
        <ns0:v>1</ns0:v>
      </ns0:c>
      <ns0:c r="C357" s="16" t="inlineStr">
        <ns0:is>
          <ns0:t>倍</ns0:t>
        </ns0:is>
      </ns0:c>
      <ns0:c r="D357" s="16" t="inlineStr">
        <ns0:is>
          <ns0:t>本报告账面敏感性假设</ns0:t>
        </ns0:is>
      </ns0:c>
      <ns0:c r="E357" s="16" t="inlineStr">
        <ns0:is>
          <ns0:t>假设</ns0:t>
        </ns0:is>
      </ns0:c>
    </ns0:row>
    <ns0:row r="358">
      <ns0:c r="A358" s="16" t="inlineStr">
        <ns0:is>
          <ns0:t>PB档1.5</ns0:t>
        </ns0:is>
      </ns0:c>
      <ns0:c r="B358" s="41" t="n">
        <ns0:v>1.5</ns0:v>
      </ns0:c>
      <ns0:c r="C358" s="16" t="inlineStr">
        <ns0:is>
          <ns0:t>倍</ns0:t>
        </ns0:is>
      </ns0:c>
      <ns0:c r="D358" s="16" t="inlineStr">
        <ns0:is>
          <ns0:t>本报告账面敏感性假设</ns0:t>
        </ns0:is>
      </ns0:c>
      <ns0:c r="E358" s="16" t="inlineStr">
        <ns0:is>
          <ns0:t>假设</ns0:t>
        </ns0:is>
      </ns0:c>
    </ns0:row>
    <ns0:row r="359">
      <ns0:c r="A359" s="16" t="inlineStr">
        <ns0:is>
          <ns0:t>PB档2</ns0:t>
        </ns0:is>
      </ns0:c>
      <ns0:c r="B359" s="41" t="n">
        <ns0:v>2</ns0:v>
      </ns0:c>
      <ns0:c r="C359" s="16" t="inlineStr">
        <ns0:is>
          <ns0:t>倍</ns0:t>
        </ns0:is>
      </ns0:c>
      <ns0:c r="D359" s="16" t="inlineStr">
        <ns0:is>
          <ns0:t>本报告账面敏感性假设</ns0:t>
        </ns0:is>
      </ns0:c>
      <ns0:c r="E359" s="16" t="inlineStr">
        <ns0:is>
          <ns0:t>假设</ns0:t>
        </ns0:is>
      </ns0:c>
    </ns0:row>
  </ns0:sheetData>
  <ns0:printOptions horizontalCentered="1"/>
  <ns0:pageMargins left="0.75" right="0.75" top="1" bottom="1" header="0.5" footer="0.5"/>
  <ns0:legacyDrawing ns1:id="anysvml"/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C47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8" customWidth="1" min="1" max="1"/>
    <ns0:col width="19" customWidth="1" min="2" max="2"/>
    <ns0:col width="19" customWidth="1" min="3" max="3"/>
  </ns0:cols>
  <ns0:sheetData>
    <ns0:row r="1">
      <ns0:c r="A1" s="15" t="inlineStr">
        <ns0:is>
          <ns0:t>日期</ns0:t>
        </ns0:is>
      </ns0:c>
      <ns0:c r="B1" s="15" t="inlineStr">
        <ns0:is>
          <ns0:t>WRD收盘USD（不复权）</ns0:t>
        </ns0:is>
      </ns0:c>
      <ns0:c r="C1" s="15" t="inlineStr">
        <ns0:is>
          <ns0:t>严格低于基准价</ns0:t>
        </ns0:is>
      </ns0:c>
    </ns0:row>
    <ns0:row r="2">
      <ns0:c r="A2" s="16" t="inlineStr">
        <ns0:is>
          <ns0:t>2024-10-25</ns0:t>
        </ns0:is>
      </ns0:c>
      <ns0:c r="B2" s="41" t="n">
        <ns0:v>16.55</ns0:v>
      </ns0:c>
      <ns0:c r="C2" s="17">
        <ns0:f>--(B2&lt;'5b_股价与估值'!B2)</ns0:f>
        <ns0:v>0</ns0:v>
      </ns0:c>
    </ns0:row>
    <ns0:row r="3">
      <ns0:c r="A3" s="16" t="inlineStr">
        <ns0:is>
          <ns0:t>2024-10-28</ns0:t>
        </ns0:is>
      </ns0:c>
      <ns0:c r="B3" s="41" t="n">
        <ns0:v>17</ns0:v>
      </ns0:c>
      <ns0:c r="C3" s="17">
        <ns0:f>--(B3&lt;'5b_股价与估值'!B2)</ns0:f>
        <ns0:v>0</ns0:v>
      </ns0:c>
    </ns0:row>
    <ns0:row r="4">
      <ns0:c r="A4" s="16" t="inlineStr">
        <ns0:is>
          <ns0:t>2024-10-29</ns0:t>
        </ns0:is>
      </ns0:c>
      <ns0:c r="B4" s="41" t="n">
        <ns0:v>15.41</ns0:v>
      </ns0:c>
      <ns0:c r="C4" s="17">
        <ns0:f>--(B4&lt;'5b_股价与估值'!B2)</ns0:f>
        <ns0:v>0</ns0:v>
      </ns0:c>
    </ns0:row>
    <ns0:row r="5">
      <ns0:c r="A5" s="16" t="inlineStr">
        <ns0:is>
          <ns0:t>2024-10-30</ns0:t>
        </ns0:is>
      </ns0:c>
      <ns0:c r="B5" s="41" t="n">
        <ns0:v>15.25</ns0:v>
      </ns0:c>
      <ns0:c r="C5" s="17">
        <ns0:f>--(B5&lt;'5b_股价与估值'!B2)</ns0:f>
        <ns0:v>0</ns0:v>
      </ns0:c>
    </ns0:row>
    <ns0:row r="6">
      <ns0:c r="A6" s="16" t="inlineStr">
        <ns0:is>
          <ns0:t>2024-10-31</ns0:t>
        </ns0:is>
      </ns0:c>
      <ns0:c r="B6" s="41" t="n">
        <ns0:v>14.77</ns0:v>
      </ns0:c>
      <ns0:c r="C6" s="17">
        <ns0:f>--(B6&lt;'5b_股价与估值'!B2)</ns0:f>
        <ns0:v>0</ns0:v>
      </ns0:c>
    </ns0:row>
    <ns0:row r="7">
      <ns0:c r="A7" s="16" t="inlineStr">
        <ns0:is>
          <ns0:t>2024-11-01</ns0:t>
        </ns0:is>
      </ns0:c>
      <ns0:c r="B7" s="41" t="n">
        <ns0:v>14.52</ns0:v>
      </ns0:c>
      <ns0:c r="C7" s="17">
        <ns0:f>--(B7&lt;'5b_股价与估值'!B2)</ns0:f>
        <ns0:v>0</ns0:v>
      </ns0:c>
    </ns0:row>
    <ns0:row r="8">
      <ns0:c r="A8" s="16" t="inlineStr">
        <ns0:is>
          <ns0:t>2024-11-04</ns0:t>
        </ns0:is>
      </ns0:c>
      <ns0:c r="B8" s="41" t="n">
        <ns0:v>15.46</ns0:v>
      </ns0:c>
      <ns0:c r="C8" s="17">
        <ns0:f>--(B8&lt;'5b_股价与估值'!B2)</ns0:f>
        <ns0:v>0</ns0:v>
      </ns0:c>
    </ns0:row>
    <ns0:row r="9">
      <ns0:c r="A9" s="16" t="inlineStr">
        <ns0:is>
          <ns0:t>2024-11-05</ns0:t>
        </ns0:is>
      </ns0:c>
      <ns0:c r="B9" s="41" t="n">
        <ns0:v>15.57</ns0:v>
      </ns0:c>
      <ns0:c r="C9" s="17">
        <ns0:f>--(B9&lt;'5b_股价与估值'!B2)</ns0:f>
        <ns0:v>0</ns0:v>
      </ns0:c>
    </ns0:row>
    <ns0:row r="10">
      <ns0:c r="A10" s="16" t="inlineStr">
        <ns0:is>
          <ns0:t>2024-11-06</ns0:t>
        </ns0:is>
      </ns0:c>
      <ns0:c r="B10" s="41" t="n">
        <ns0:v>15.51</ns0:v>
      </ns0:c>
      <ns0:c r="C10" s="17">
        <ns0:f>--(B10&lt;'5b_股价与估值'!B2)</ns0:f>
        <ns0:v>0</ns0:v>
      </ns0:c>
    </ns0:row>
    <ns0:row r="11">
      <ns0:c r="A11" s="16" t="inlineStr">
        <ns0:is>
          <ns0:t>2024-11-07</ns0:t>
        </ns0:is>
      </ns0:c>
      <ns0:c r="B11" s="41" t="n">
        <ns0:v>15.66</ns0:v>
      </ns0:c>
      <ns0:c r="C11" s="17">
        <ns0:f>--(B11&lt;'5b_股价与估值'!B2)</ns0:f>
        <ns0:v>0</ns0:v>
      </ns0:c>
    </ns0:row>
    <ns0:row r="12">
      <ns0:c r="A12" s="16" t="inlineStr">
        <ns0:is>
          <ns0:t>2024-11-08</ns0:t>
        </ns0:is>
      </ns0:c>
      <ns0:c r="B12" s="41" t="n">
        <ns0:v>15.5</ns0:v>
      </ns0:c>
      <ns0:c r="C12" s="17">
        <ns0:f>--(B12&lt;'5b_股价与估值'!B2)</ns0:f>
        <ns0:v>0</ns0:v>
      </ns0:c>
    </ns0:row>
    <ns0:row r="13">
      <ns0:c r="A13" s="16" t="inlineStr">
        <ns0:is>
          <ns0:t>2024-11-11</ns0:t>
        </ns0:is>
      </ns0:c>
      <ns0:c r="B13" s="41" t="n">
        <ns0:v>22.47</ns0:v>
      </ns0:c>
      <ns0:c r="C13" s="17">
        <ns0:f>--(B13&lt;'5b_股价与估值'!B2)</ns0:f>
        <ns0:v>0</ns0:v>
      </ns0:c>
    </ns0:row>
    <ns0:row r="14">
      <ns0:c r="A14" s="16" t="inlineStr">
        <ns0:is>
          <ns0:t>2024-11-12</ns0:t>
        </ns0:is>
      </ns0:c>
      <ns0:c r="B14" s="41" t="n">
        <ns0:v>17.18</ns0:v>
      </ns0:c>
      <ns0:c r="C14" s="17">
        <ns0:f>--(B14&lt;'5b_股价与估值'!B2)</ns0:f>
        <ns0:v>0</ns0:v>
      </ns0:c>
    </ns0:row>
    <ns0:row r="15">
      <ns0:c r="A15" s="16" t="inlineStr">
        <ns0:is>
          <ns0:t>2024-11-13</ns0:t>
        </ns0:is>
      </ns0:c>
      <ns0:c r="B15" s="41" t="n">
        <ns0:v>19.04</ns0:v>
      </ns0:c>
      <ns0:c r="C15" s="17">
        <ns0:f>--(B15&lt;'5b_股价与估值'!B2)</ns0:f>
        <ns0:v>0</ns0:v>
      </ns0:c>
    </ns0:row>
    <ns0:row r="16">
      <ns0:c r="A16" s="16" t="inlineStr">
        <ns0:is>
          <ns0:t>2024-11-14</ns0:t>
        </ns0:is>
      </ns0:c>
      <ns0:c r="B16" s="41" t="n">
        <ns0:v>15.79</ns0:v>
      </ns0:c>
      <ns0:c r="C16" s="17">
        <ns0:f>--(B16&lt;'5b_股价与估值'!B2)</ns0:f>
        <ns0:v>0</ns0:v>
      </ns0:c>
    </ns0:row>
    <ns0:row r="17">
      <ns0:c r="A17" s="16" t="inlineStr">
        <ns0:is>
          <ns0:t>2024-11-15</ns0:t>
        </ns0:is>
      </ns0:c>
      <ns0:c r="B17" s="41" t="n">
        <ns0:v>17.37</ns0:v>
      </ns0:c>
      <ns0:c r="C17" s="17">
        <ns0:f>--(B17&lt;'5b_股价与估值'!B2)</ns0:f>
        <ns0:v>0</ns0:v>
      </ns0:c>
    </ns0:row>
    <ns0:row r="18">
      <ns0:c r="A18" s="16" t="inlineStr">
        <ns0:is>
          <ns0:t>2024-11-18</ns0:t>
        </ns0:is>
      </ns0:c>
      <ns0:c r="B18" s="41" t="n">
        <ns0:v>18.33</ns0:v>
      </ns0:c>
      <ns0:c r="C18" s="17">
        <ns0:f>--(B18&lt;'5b_股价与估值'!B2)</ns0:f>
        <ns0:v>0</ns0:v>
      </ns0:c>
    </ns0:row>
    <ns0:row r="19">
      <ns0:c r="A19" s="16" t="inlineStr">
        <ns0:is>
          <ns0:t>2024-11-19</ns0:t>
        </ns0:is>
      </ns0:c>
      <ns0:c r="B19" s="41" t="n">
        <ns0:v>19.29</ns0:v>
      </ns0:c>
      <ns0:c r="C19" s="17">
        <ns0:f>--(B19&lt;'5b_股价与估值'!B2)</ns0:f>
        <ns0:v>0</ns0:v>
      </ns0:c>
    </ns0:row>
    <ns0:row r="20">
      <ns0:c r="A20" s="16" t="inlineStr">
        <ns0:is>
          <ns0:t>2024-11-20</ns0:t>
        </ns0:is>
      </ns0:c>
      <ns0:c r="B20" s="41" t="n">
        <ns0:v>17.7</ns0:v>
      </ns0:c>
      <ns0:c r="C20" s="17">
        <ns0:f>--(B20&lt;'5b_股价与估值'!B2)</ns0:f>
        <ns0:v>0</ns0:v>
      </ns0:c>
    </ns0:row>
    <ns0:row r="21">
      <ns0:c r="A21" s="16" t="inlineStr">
        <ns0:is>
          <ns0:t>2024-11-21</ns0:t>
        </ns0:is>
      </ns0:c>
      <ns0:c r="B21" s="41" t="n">
        <ns0:v>18.2</ns0:v>
      </ns0:c>
      <ns0:c r="C21" s="17">
        <ns0:f>--(B21&lt;'5b_股价与估值'!B2)</ns0:f>
        <ns0:v>0</ns0:v>
      </ns0:c>
    </ns0:row>
    <ns0:row r="22">
      <ns0:c r="A22" s="16" t="inlineStr">
        <ns0:is>
          <ns0:t>2024-11-22</ns0:t>
        </ns0:is>
      </ns0:c>
      <ns0:c r="B22" s="41" t="n">
        <ns0:v>19.865</ns0:v>
      </ns0:c>
      <ns0:c r="C22" s="17">
        <ns0:f>--(B22&lt;'5b_股价与估值'!B2)</ns0:f>
        <ns0:v>0</ns0:v>
      </ns0:c>
    </ns0:row>
    <ns0:row r="23">
      <ns0:c r="A23" s="16" t="inlineStr">
        <ns0:is>
          <ns0:t>2024-11-25</ns0:t>
        </ns0:is>
      </ns0:c>
      <ns0:c r="B23" s="41" t="n">
        <ns0:v>18.27</ns0:v>
      </ns0:c>
      <ns0:c r="C23" s="17">
        <ns0:f>--(B23&lt;'5b_股价与估值'!B2)</ns0:f>
        <ns0:v>0</ns0:v>
      </ns0:c>
    </ns0:row>
    <ns0:row r="24">
      <ns0:c r="A24" s="16" t="inlineStr">
        <ns0:is>
          <ns0:t>2024-11-26</ns0:t>
        </ns0:is>
      </ns0:c>
      <ns0:c r="B24" s="41" t="n">
        <ns0:v>17.5</ns0:v>
      </ns0:c>
      <ns0:c r="C24" s="17">
        <ns0:f>--(B24&lt;'5b_股价与估值'!B2)</ns0:f>
        <ns0:v>0</ns0:v>
      </ns0:c>
    </ns0:row>
    <ns0:row r="25">
      <ns0:c r="A25" s="16" t="inlineStr">
        <ns0:is>
          <ns0:t>2024-11-27</ns0:t>
        </ns0:is>
      </ns0:c>
      <ns0:c r="B25" s="41" t="n">
        <ns0:v>17.16</ns0:v>
      </ns0:c>
      <ns0:c r="C25" s="17">
        <ns0:f>--(B25&lt;'5b_股价与估值'!B2)</ns0:f>
        <ns0:v>0</ns0:v>
      </ns0:c>
    </ns0:row>
    <ns0:row r="26">
      <ns0:c r="A26" s="16" t="inlineStr">
        <ns0:is>
          <ns0:t>2024-11-29</ns0:t>
        </ns0:is>
      </ns0:c>
      <ns0:c r="B26" s="41" t="n">
        <ns0:v>17.37</ns0:v>
      </ns0:c>
      <ns0:c r="C26" s="17">
        <ns0:f>--(B26&lt;'5b_股价与估值'!B2)</ns0:f>
        <ns0:v>0</ns0:v>
      </ns0:c>
    </ns0:row>
    <ns0:row r="27">
      <ns0:c r="A27" s="16" t="inlineStr">
        <ns0:is>
          <ns0:t>2024-12-02</ns0:t>
        </ns0:is>
      </ns0:c>
      <ns0:c r="B27" s="41" t="n">
        <ns0:v>16.73</ns0:v>
      </ns0:c>
      <ns0:c r="C27" s="17">
        <ns0:f>--(B27&lt;'5b_股价与估值'!B2)</ns0:f>
        <ns0:v>0</ns0:v>
      </ns0:c>
    </ns0:row>
    <ns0:row r="28">
      <ns0:c r="A28" s="16" t="inlineStr">
        <ns0:is>
          <ns0:t>2024-12-03</ns0:t>
        </ns0:is>
      </ns0:c>
      <ns0:c r="B28" s="41" t="n">
        <ns0:v>17.14</ns0:v>
      </ns0:c>
      <ns0:c r="C28" s="17">
        <ns0:f>--(B28&lt;'5b_股价与估值'!B2)</ns0:f>
        <ns0:v>0</ns0:v>
      </ns0:c>
    </ns0:row>
    <ns0:row r="29">
      <ns0:c r="A29" s="16" t="inlineStr">
        <ns0:is>
          <ns0:t>2024-12-04</ns0:t>
        </ns0:is>
      </ns0:c>
      <ns0:c r="B29" s="41" t="n">
        <ns0:v>16.94</ns0:v>
      </ns0:c>
      <ns0:c r="C29" s="17">
        <ns0:f>--(B29&lt;'5b_股价与估值'!B2)</ns0:f>
        <ns0:v>0</ns0:v>
      </ns0:c>
    </ns0:row>
    <ns0:row r="30">
      <ns0:c r="A30" s="16" t="inlineStr">
        <ns0:is>
          <ns0:t>2024-12-05</ns0:t>
        </ns0:is>
      </ns0:c>
      <ns0:c r="B30" s="41" t="n">
        <ns0:v>15.95</ns0:v>
      </ns0:c>
      <ns0:c r="C30" s="17">
        <ns0:f>--(B30&lt;'5b_股价与估值'!B2)</ns0:f>
        <ns0:v>0</ns0:v>
      </ns0:c>
    </ns0:row>
    <ns0:row r="31">
      <ns0:c r="A31" s="16" t="inlineStr">
        <ns0:is>
          <ns0:t>2024-12-06</ns0:t>
        </ns0:is>
      </ns0:c>
      <ns0:c r="B31" s="41" t="n">
        <ns0:v>16.81</ns0:v>
      </ns0:c>
      <ns0:c r="C31" s="17">
        <ns0:f>--(B31&lt;'5b_股价与估值'!B2)</ns0:f>
        <ns0:v>0</ns0:v>
      </ns0:c>
    </ns0:row>
    <ns0:row r="32">
      <ns0:c r="A32" s="16" t="inlineStr">
        <ns0:is>
          <ns0:t>2024-12-09</ns0:t>
        </ns0:is>
      </ns0:c>
      <ns0:c r="B32" s="41" t="n">
        <ns0:v>17.16</ns0:v>
      </ns0:c>
      <ns0:c r="C32" s="17">
        <ns0:f>--(B32&lt;'5b_股价与估值'!B2)</ns0:f>
        <ns0:v>0</ns0:v>
      </ns0:c>
    </ns0:row>
    <ns0:row r="33">
      <ns0:c r="A33" s="16" t="inlineStr">
        <ns0:is>
          <ns0:t>2024-12-10</ns0:t>
        </ns0:is>
      </ns0:c>
      <ns0:c r="B33" s="41" t="n">
        <ns0:v>15.92</ns0:v>
      </ns0:c>
      <ns0:c r="C33" s="17">
        <ns0:f>--(B33&lt;'5b_股价与估值'!B2)</ns0:f>
        <ns0:v>0</ns0:v>
      </ns0:c>
    </ns0:row>
    <ns0:row r="34">
      <ns0:c r="A34" s="16" t="inlineStr">
        <ns0:is>
          <ns0:t>2024-12-11</ns0:t>
        </ns0:is>
      </ns0:c>
      <ns0:c r="B34" s="41" t="n">
        <ns0:v>16</ns0:v>
      </ns0:c>
      <ns0:c r="C34" s="17">
        <ns0:f>--(B34&lt;'5b_股价与估值'!B2)</ns0:f>
        <ns0:v>0</ns0:v>
      </ns0:c>
    </ns0:row>
    <ns0:row r="35">
      <ns0:c r="A35" s="16" t="inlineStr">
        <ns0:is>
          <ns0:t>2024-12-12</ns0:t>
        </ns0:is>
      </ns0:c>
      <ns0:c r="B35" s="41" t="n">
        <ns0:v>16.04</ns0:v>
      </ns0:c>
      <ns0:c r="C35" s="17">
        <ns0:f>--(B35&lt;'5b_股价与估值'!B2)</ns0:f>
        <ns0:v>0</ns0:v>
      </ns0:c>
    </ns0:row>
    <ns0:row r="36">
      <ns0:c r="A36" s="16" t="inlineStr">
        <ns0:is>
          <ns0:t>2024-12-13</ns0:t>
        </ns0:is>
      </ns0:c>
      <ns0:c r="B36" s="41" t="n">
        <ns0:v>16.2</ns0:v>
      </ns0:c>
      <ns0:c r="C36" s="17">
        <ns0:f>--(B36&lt;'5b_股价与估值'!B2)</ns0:f>
        <ns0:v>0</ns0:v>
      </ns0:c>
    </ns0:row>
    <ns0:row r="37">
      <ns0:c r="A37" s="16" t="inlineStr">
        <ns0:is>
          <ns0:t>2024-12-16</ns0:t>
        </ns0:is>
      </ns0:c>
      <ns0:c r="B37" s="41" t="n">
        <ns0:v>16</ns0:v>
      </ns0:c>
      <ns0:c r="C37" s="17">
        <ns0:f>--(B37&lt;'5b_股价与估值'!B2)</ns0:f>
        <ns0:v>0</ns0:v>
      </ns0:c>
    </ns0:row>
    <ns0:row r="38">
      <ns0:c r="A38" s="16" t="inlineStr">
        <ns0:is>
          <ns0:t>2024-12-17</ns0:t>
        </ns0:is>
      </ns0:c>
      <ns0:c r="B38" s="41" t="n">
        <ns0:v>15.66</ns0:v>
      </ns0:c>
      <ns0:c r="C38" s="17">
        <ns0:f>--(B38&lt;'5b_股价与估值'!B2)</ns0:f>
        <ns0:v>0</ns0:v>
      </ns0:c>
    </ns0:row>
    <ns0:row r="39">
      <ns0:c r="A39" s="16" t="inlineStr">
        <ns0:is>
          <ns0:t>2024-12-18</ns0:t>
        </ns0:is>
      </ns0:c>
      <ns0:c r="B39" s="41" t="n">
        <ns0:v>14.68</ns0:v>
      </ns0:c>
      <ns0:c r="C39" s="17">
        <ns0:f>--(B39&lt;'5b_股价与估值'!B2)</ns0:f>
        <ns0:v>0</ns0:v>
      </ns0:c>
    </ns0:row>
    <ns0:row r="40">
      <ns0:c r="A40" s="16" t="inlineStr">
        <ns0:is>
          <ns0:t>2024-12-19</ns0:t>
        </ns0:is>
      </ns0:c>
      <ns0:c r="B40" s="41" t="n">
        <ns0:v>15.07</ns0:v>
      </ns0:c>
      <ns0:c r="C40" s="17">
        <ns0:f>--(B40&lt;'5b_股价与估值'!B2)</ns0:f>
        <ns0:v>0</ns0:v>
      </ns0:c>
    </ns0:row>
    <ns0:row r="41">
      <ns0:c r="A41" s="16" t="inlineStr">
        <ns0:is>
          <ns0:t>2024-12-20</ns0:t>
        </ns0:is>
      </ns0:c>
      <ns0:c r="B41" s="41" t="n">
        <ns0:v>14.7</ns0:v>
      </ns0:c>
      <ns0:c r="C41" s="17">
        <ns0:f>--(B41&lt;'5b_股价与估值'!B2)</ns0:f>
        <ns0:v>0</ns0:v>
      </ns0:c>
    </ns0:row>
    <ns0:row r="42">
      <ns0:c r="A42" s="16" t="inlineStr">
        <ns0:is>
          <ns0:t>2024-12-23</ns0:t>
        </ns0:is>
      </ns0:c>
      <ns0:c r="B42" s="41" t="n">
        <ns0:v>14.75</ns0:v>
      </ns0:c>
      <ns0:c r="C42" s="17">
        <ns0:f>--(B42&lt;'5b_股价与估值'!B2)</ns0:f>
        <ns0:v>0</ns0:v>
      </ns0:c>
    </ns0:row>
    <ns0:row r="43">
      <ns0:c r="A43" s="16" t="inlineStr">
        <ns0:is>
          <ns0:t>2024-12-24</ns0:t>
        </ns0:is>
      </ns0:c>
      <ns0:c r="B43" s="41" t="n">
        <ns0:v>14.69</ns0:v>
      </ns0:c>
      <ns0:c r="C43" s="17">
        <ns0:f>--(B43&lt;'5b_股价与估值'!B2)</ns0:f>
        <ns0:v>0</ns0:v>
      </ns0:c>
    </ns0:row>
    <ns0:row r="44">
      <ns0:c r="A44" s="16" t="inlineStr">
        <ns0:is>
          <ns0:t>2024-12-26</ns0:t>
        </ns0:is>
      </ns0:c>
      <ns0:c r="B44" s="41" t="n">
        <ns0:v>14.58</ns0:v>
      </ns0:c>
      <ns0:c r="C44" s="17">
        <ns0:f>--(B44&lt;'5b_股价与估值'!B2)</ns0:f>
        <ns0:v>0</ns0:v>
      </ns0:c>
    </ns0:row>
    <ns0:row r="45">
      <ns0:c r="A45" s="16" t="inlineStr">
        <ns0:is>
          <ns0:t>2024-12-27</ns0:t>
        </ns0:is>
      </ns0:c>
      <ns0:c r="B45" s="41" t="n">
        <ns0:v>14.2</ns0:v>
      </ns0:c>
      <ns0:c r="C45" s="17">
        <ns0:f>--(B45&lt;'5b_股价与估值'!B2)</ns0:f>
        <ns0:v>0</ns0:v>
      </ns0:c>
    </ns0:row>
    <ns0:row r="46">
      <ns0:c r="A46" s="16" t="inlineStr">
        <ns0:is>
          <ns0:t>2024-12-30</ns0:t>
        </ns0:is>
      </ns0:c>
      <ns0:c r="B46" s="41" t="n">
        <ns0:v>13.85</ns0:v>
      </ns0:c>
      <ns0:c r="C46" s="17">
        <ns0:f>--(B46&lt;'5b_股价与估值'!B2)</ns0:f>
        <ns0:v>0</ns0:v>
      </ns0:c>
    </ns0:row>
    <ns0:row r="47">
      <ns0:c r="A47" s="16" t="inlineStr">
        <ns0:is>
          <ns0:t>2024-12-31</ns0:t>
        </ns0:is>
      </ns0:c>
      <ns0:c r="B47" s="41" t="n">
        <ns0:v>14.18</ns0:v>
      </ns0:c>
      <ns0:c r="C47" s="17">
        <ns0:f>--(B47&lt;'5b_股价与估值'!B2)</ns0:f>
        <ns0:v>0</ns0:v>
      </ns0:c>
    </ns0:row>
    <ns0:row r="48">
      <ns0:c r="A48" s="16" t="inlineStr">
        <ns0:is>
          <ns0:t>2025-01-02</ns0:t>
        </ns0:is>
      </ns0:c>
      <ns0:c r="B48" s="41" t="n">
        <ns0:v>14.19</ns0:v>
      </ns0:c>
      <ns0:c r="C48" s="17">
        <ns0:f>--(B48&lt;'5b_股价与估值'!B2)</ns0:f>
        <ns0:v>0</ns0:v>
      </ns0:c>
    </ns0:row>
    <ns0:row r="49">
      <ns0:c r="A49" s="16" t="inlineStr">
        <ns0:is>
          <ns0:t>2025-01-03</ns0:t>
        </ns0:is>
      </ns0:c>
      <ns0:c r="B49" s="41" t="n">
        <ns0:v>13.89</ns0:v>
      </ns0:c>
      <ns0:c r="C49" s="17">
        <ns0:f>--(B49&lt;'5b_股价与估值'!B2)</ns0:f>
        <ns0:v>0</ns0:v>
      </ns0:c>
    </ns0:row>
    <ns0:row r="50">
      <ns0:c r="A50" s="16" t="inlineStr">
        <ns0:is>
          <ns0:t>2025-01-06</ns0:t>
        </ns0:is>
      </ns0:c>
      <ns0:c r="B50" s="41" t="n">
        <ns0:v>13.11</ns0:v>
      </ns0:c>
      <ns0:c r="C50" s="17">
        <ns0:f>--(B50&lt;'5b_股价与估值'!B2)</ns0:f>
        <ns0:v>0</ns0:v>
      </ns0:c>
    </ns0:row>
    <ns0:row r="51">
      <ns0:c r="A51" s="16" t="inlineStr">
        <ns0:is>
          <ns0:t>2025-01-07</ns0:t>
        </ns0:is>
      </ns0:c>
      <ns0:c r="B51" s="41" t="n">
        <ns0:v>13.79</ns0:v>
      </ns0:c>
      <ns0:c r="C51" s="17">
        <ns0:f>--(B51&lt;'5b_股价与估值'!B2)</ns0:f>
        <ns0:v>0</ns0:v>
      </ns0:c>
    </ns0:row>
    <ns0:row r="52">
      <ns0:c r="A52" s="16" t="inlineStr">
        <ns0:is>
          <ns0:t>2025-01-08</ns0:t>
        </ns0:is>
      </ns0:c>
      <ns0:c r="B52" s="41" t="n">
        <ns0:v>13.05</ns0:v>
      </ns0:c>
      <ns0:c r="C52" s="17">
        <ns0:f>--(B52&lt;'5b_股价与估值'!B2)</ns0:f>
        <ns0:v>0</ns0:v>
      </ns0:c>
    </ns0:row>
    <ns0:row r="53">
      <ns0:c r="A53" s="16" t="inlineStr">
        <ns0:is>
          <ns0:t>2025-01-10</ns0:t>
        </ns0:is>
      </ns0:c>
      <ns0:c r="B53" s="41" t="n">
        <ns0:v>12.81</ns0:v>
      </ns0:c>
      <ns0:c r="C53" s="17">
        <ns0:f>--(B53&lt;'5b_股价与估值'!B2)</ns0:f>
        <ns0:v>0</ns0:v>
      </ns0:c>
    </ns0:row>
    <ns0:row r="54">
      <ns0:c r="A54" s="16" t="inlineStr">
        <ns0:is>
          <ns0:t>2025-01-13</ns0:t>
        </ns0:is>
      </ns0:c>
      <ns0:c r="B54" s="41" t="n">
        <ns0:v>12.22</ns0:v>
      </ns0:c>
      <ns0:c r="C54" s="17">
        <ns0:f>--(B54&lt;'5b_股价与估值'!B2)</ns0:f>
        <ns0:v>0</ns0:v>
      </ns0:c>
    </ns0:row>
    <ns0:row r="55">
      <ns0:c r="A55" s="16" t="inlineStr">
        <ns0:is>
          <ns0:t>2025-01-14</ns0:t>
        </ns0:is>
      </ns0:c>
      <ns0:c r="B55" s="41" t="n">
        <ns0:v>12.3</ns0:v>
      </ns0:c>
      <ns0:c r="C55" s="17">
        <ns0:f>--(B55&lt;'5b_股价与估值'!B2)</ns0:f>
        <ns0:v>0</ns0:v>
      </ns0:c>
    </ns0:row>
    <ns0:row r="56">
      <ns0:c r="A56" s="16" t="inlineStr">
        <ns0:is>
          <ns0:t>2025-01-15</ns0:t>
        </ns0:is>
      </ns0:c>
      <ns0:c r="B56" s="41" t="n">
        <ns0:v>12.46</ns0:v>
      </ns0:c>
      <ns0:c r="C56" s="17">
        <ns0:f>--(B56&lt;'5b_股价与估值'!B2)</ns0:f>
        <ns0:v>0</ns0:v>
      </ns0:c>
    </ns0:row>
    <ns0:row r="57">
      <ns0:c r="A57" s="16" t="inlineStr">
        <ns0:is>
          <ns0:t>2025-01-16</ns0:t>
        </ns0:is>
      </ns0:c>
      <ns0:c r="B57" s="41" t="n">
        <ns0:v>12.62</ns0:v>
      </ns0:c>
      <ns0:c r="C57" s="17">
        <ns0:f>--(B57&lt;'5b_股价与估值'!B2)</ns0:f>
        <ns0:v>0</ns0:v>
      </ns0:c>
    </ns0:row>
    <ns0:row r="58">
      <ns0:c r="A58" s="16" t="inlineStr">
        <ns0:is>
          <ns0:t>2025-01-17</ns0:t>
        </ns0:is>
      </ns0:c>
      <ns0:c r="B58" s="41" t="n">
        <ns0:v>13.25</ns0:v>
      </ns0:c>
      <ns0:c r="C58" s="17">
        <ns0:f>--(B58&lt;'5b_股价与估值'!B2)</ns0:f>
        <ns0:v>0</ns0:v>
      </ns0:c>
    </ns0:row>
    <ns0:row r="59">
      <ns0:c r="A59" s="16" t="inlineStr">
        <ns0:is>
          <ns0:t>2025-01-21</ns0:t>
        </ns0:is>
      </ns0:c>
      <ns0:c r="B59" s="41" t="n">
        <ns0:v>12.82</ns0:v>
      </ns0:c>
      <ns0:c r="C59" s="17">
        <ns0:f>--(B59&lt;'5b_股价与估值'!B2)</ns0:f>
        <ns0:v>0</ns0:v>
      </ns0:c>
    </ns0:row>
    <ns0:row r="60">
      <ns0:c r="A60" s="16" t="inlineStr">
        <ns0:is>
          <ns0:t>2025-01-22</ns0:t>
        </ns0:is>
      </ns0:c>
      <ns0:c r="B60" s="41" t="n">
        <ns0:v>13.91</ns0:v>
      </ns0:c>
      <ns0:c r="C60" s="17">
        <ns0:f>--(B60&lt;'5b_股价与估值'!B2)</ns0:f>
        <ns0:v>0</ns0:v>
      </ns0:c>
    </ns0:row>
    <ns0:row r="61">
      <ns0:c r="A61" s="16" t="inlineStr">
        <ns0:is>
          <ns0:t>2025-01-23</ns0:t>
        </ns0:is>
      </ns0:c>
      <ns0:c r="B61" s="41" t="n">
        <ns0:v>14.5</ns0:v>
      </ns0:c>
      <ns0:c r="C61" s="17">
        <ns0:f>--(B61&lt;'5b_股价与估值'!B2)</ns0:f>
        <ns0:v>0</ns0:v>
      </ns0:c>
    </ns0:row>
    <ns0:row r="62">
      <ns0:c r="A62" s="16" t="inlineStr">
        <ns0:is>
          <ns0:t>2025-01-24</ns0:t>
        </ns0:is>
      </ns0:c>
      <ns0:c r="B62" s="41" t="n">
        <ns0:v>15.32</ns0:v>
      </ns0:c>
      <ns0:c r="C62" s="17">
        <ns0:f>--(B62&lt;'5b_股价与估值'!B2)</ns0:f>
        <ns0:v>0</ns0:v>
      </ns0:c>
    </ns0:row>
    <ns0:row r="63">
      <ns0:c r="A63" s="16" t="inlineStr">
        <ns0:is>
          <ns0:t>2025-01-27</ns0:t>
        </ns0:is>
      </ns0:c>
      <ns0:c r="B63" s="41" t="n">
        <ns0:v>14.35</ns0:v>
      </ns0:c>
      <ns0:c r="C63" s="17">
        <ns0:f>--(B63&lt;'5b_股价与估值'!B2)</ns0:f>
        <ns0:v>0</ns0:v>
      </ns0:c>
    </ns0:row>
    <ns0:row r="64">
      <ns0:c r="A64" s="16" t="inlineStr">
        <ns0:is>
          <ns0:t>2025-01-28</ns0:t>
        </ns0:is>
      </ns0:c>
      <ns0:c r="B64" s="41" t="n">
        <ns0:v>14.54</ns0:v>
      </ns0:c>
      <ns0:c r="C64" s="17">
        <ns0:f>--(B64&lt;'5b_股价与估值'!B2)</ns0:f>
        <ns0:v>0</ns0:v>
      </ns0:c>
    </ns0:row>
    <ns0:row r="65">
      <ns0:c r="A65" s="16" t="inlineStr">
        <ns0:is>
          <ns0:t>2025-01-29</ns0:t>
        </ns0:is>
      </ns0:c>
      <ns0:c r="B65" s="41" t="n">
        <ns0:v>15.19</ns0:v>
      </ns0:c>
      <ns0:c r="C65" s="17">
        <ns0:f>--(B65&lt;'5b_股价与估值'!B2)</ns0:f>
        <ns0:v>0</ns0:v>
      </ns0:c>
    </ns0:row>
    <ns0:row r="66">
      <ns0:c r="A66" s="16" t="inlineStr">
        <ns0:is>
          <ns0:t>2025-01-30</ns0:t>
        </ns0:is>
      </ns0:c>
      <ns0:c r="B66" s="41" t="n">
        <ns0:v>14.95</ns0:v>
      </ns0:c>
      <ns0:c r="C66" s="17">
        <ns0:f>--(B66&lt;'5b_股价与估值'!B2)</ns0:f>
        <ns0:v>0</ns0:v>
      </ns0:c>
    </ns0:row>
    <ns0:row r="67">
      <ns0:c r="A67" s="16" t="inlineStr">
        <ns0:is>
          <ns0:t>2025-01-31</ns0:t>
        </ns0:is>
      </ns0:c>
      <ns0:c r="B67" s="41" t="n">
        <ns0:v>14.69</ns0:v>
      </ns0:c>
      <ns0:c r="C67" s="17">
        <ns0:f>--(B67&lt;'5b_股价与估值'!B2)</ns0:f>
        <ns0:v>0</ns0:v>
      </ns0:c>
    </ns0:row>
    <ns0:row r="68">
      <ns0:c r="A68" s="16" t="inlineStr">
        <ns0:is>
          <ns0:t>2025-02-03</ns0:t>
        </ns0:is>
      </ns0:c>
      <ns0:c r="B68" s="41" t="n">
        <ns0:v>14.32</ns0:v>
      </ns0:c>
      <ns0:c r="C68" s="17">
        <ns0:f>--(B68&lt;'5b_股价与估值'!B2)</ns0:f>
        <ns0:v>0</ns0:v>
      </ns0:c>
    </ns0:row>
    <ns0:row r="69">
      <ns0:c r="A69" s="16" t="inlineStr">
        <ns0:is>
          <ns0:t>2025-02-04</ns0:t>
        </ns0:is>
      </ns0:c>
      <ns0:c r="B69" s="41" t="n">
        <ns0:v>14.58</ns0:v>
      </ns0:c>
      <ns0:c r="C69" s="17">
        <ns0:f>--(B69&lt;'5b_股价与估值'!B2)</ns0:f>
        <ns0:v>0</ns0:v>
      </ns0:c>
    </ns0:row>
    <ns0:row r="70">
      <ns0:c r="A70" s="16" t="inlineStr">
        <ns0:is>
          <ns0:t>2025-02-05</ns0:t>
        </ns0:is>
      </ns0:c>
      <ns0:c r="B70" s="41" t="n">
        <ns0:v>13.8</ns0:v>
      </ns0:c>
      <ns0:c r="C70" s="17">
        <ns0:f>--(B70&lt;'5b_股价与估值'!B2)</ns0:f>
        <ns0:v>0</ns0:v>
      </ns0:c>
    </ns0:row>
    <ns0:row r="71">
      <ns0:c r="A71" s="16" t="inlineStr">
        <ns0:is>
          <ns0:t>2025-02-06</ns0:t>
        </ns0:is>
      </ns0:c>
      <ns0:c r="B71" s="41" t="n">
        <ns0:v>15.93</ns0:v>
      </ns0:c>
      <ns0:c r="C71" s="17">
        <ns0:f>--(B71&lt;'5b_股价与估值'!B2)</ns0:f>
        <ns0:v>0</ns0:v>
      </ns0:c>
    </ns0:row>
    <ns0:row r="72">
      <ns0:c r="A72" s="16" t="inlineStr">
        <ns0:is>
          <ns0:t>2025-02-07</ns0:t>
        </ns0:is>
      </ns0:c>
      <ns0:c r="B72" s="41" t="n">
        <ns0:v>15.94</ns0:v>
      </ns0:c>
      <ns0:c r="C72" s="17">
        <ns0:f>--(B72&lt;'5b_股价与估值'!B2)</ns0:f>
        <ns0:v>0</ns0:v>
      </ns0:c>
    </ns0:row>
    <ns0:row r="73">
      <ns0:c r="A73" s="16" t="inlineStr">
        <ns0:is>
          <ns0:t>2025-02-10</ns0:t>
        </ns0:is>
      </ns0:c>
      <ns0:c r="B73" s="41" t="n">
        <ns0:v>15.99</ns0:v>
      </ns0:c>
      <ns0:c r="C73" s="17">
        <ns0:f>--(B73&lt;'5b_股价与估值'!B2)</ns0:f>
        <ns0:v>0</ns0:v>
      </ns0:c>
    </ns0:row>
    <ns0:row r="74">
      <ns0:c r="A74" s="16" t="inlineStr">
        <ns0:is>
          <ns0:t>2025-02-11</ns0:t>
        </ns0:is>
      </ns0:c>
      <ns0:c r="B74" s="41" t="n">
        <ns0:v>15.9</ns0:v>
      </ns0:c>
      <ns0:c r="C74" s="17">
        <ns0:f>--(B74&lt;'5b_股价与估值'!B2)</ns0:f>
        <ns0:v>0</ns0:v>
      </ns0:c>
    </ns0:row>
    <ns0:row r="75">
      <ns0:c r="A75" s="16" t="inlineStr">
        <ns0:is>
          <ns0:t>2025-02-12</ns0:t>
        </ns0:is>
      </ns0:c>
      <ns0:c r="B75" s="41" t="n">
        <ns0:v>16.56</ns0:v>
      </ns0:c>
      <ns0:c r="C75" s="17">
        <ns0:f>--(B75&lt;'5b_股价与估值'!B2)</ns0:f>
        <ns0:v>0</ns0:v>
      </ns0:c>
    </ns0:row>
    <ns0:row r="76">
      <ns0:c r="A76" s="16" t="inlineStr">
        <ns0:is>
          <ns0:t>2025-02-13</ns0:t>
        </ns0:is>
      </ns0:c>
      <ns0:c r="B76" s="41" t="n">
        <ns0:v>17.17</ns0:v>
      </ns0:c>
      <ns0:c r="C76" s="17">
        <ns0:f>--(B76&lt;'5b_股价与估值'!B2)</ns0:f>
        <ns0:v>0</ns0:v>
      </ns0:c>
    </ns0:row>
    <ns0:row r="77">
      <ns0:c r="A77" s="16" t="inlineStr">
        <ns0:is>
          <ns0:t>2025-02-14</ns0:t>
        </ns0:is>
      </ns0:c>
      <ns0:c r="B77" s="41" t="n">
        <ns0:v>31.5</ns0:v>
      </ns0:c>
      <ns0:c r="C77" s="17">
        <ns0:f>--(B77&lt;'5b_股价与估值'!B2)</ns0:f>
        <ns0:v>0</ns0:v>
      </ns0:c>
    </ns0:row>
    <ns0:row r="78">
      <ns0:c r="A78" s="16" t="inlineStr">
        <ns0:is>
          <ns0:t>2025-02-18</ns0:t>
        </ns0:is>
      </ns0:c>
      <ns0:c r="B78" s="41" t="n">
        <ns0:v>40.4</ns0:v>
      </ns0:c>
      <ns0:c r="C78" s="17">
        <ns0:f>--(B78&lt;'5b_股价与估值'!B2)</ns0:f>
        <ns0:v>0</ns0:v>
      </ns0:c>
    </ns0:row>
    <ns0:row r="79">
      <ns0:c r="A79" s="16" t="inlineStr">
        <ns0:is>
          <ns0:t>2025-02-19</ns0:t>
        </ns0:is>
      </ns0:c>
      <ns0:c r="B79" s="41" t="n">
        <ns0:v>34.01</ns0:v>
      </ns0:c>
      <ns0:c r="C79" s="17">
        <ns0:f>--(B79&lt;'5b_股价与估值'!B2)</ns0:f>
        <ns0:v>0</ns0:v>
      </ns0:c>
    </ns0:row>
    <ns0:row r="80">
      <ns0:c r="A80" s="16" t="inlineStr">
        <ns0:is>
          <ns0:t>2025-02-20</ns0:t>
        </ns0:is>
      </ns0:c>
      <ns0:c r="B80" s="41" t="n">
        <ns0:v>27.59</ns0:v>
      </ns0:c>
      <ns0:c r="C80" s="17">
        <ns0:f>--(B80&lt;'5b_股价与估值'!B2)</ns0:f>
        <ns0:v>0</ns0:v>
      </ns0:c>
    </ns0:row>
    <ns0:row r="81">
      <ns0:c r="A81" s="16" t="inlineStr">
        <ns0:is>
          <ns0:t>2025-02-21</ns0:t>
        </ns0:is>
      </ns0:c>
      <ns0:c r="B81" s="41" t="n">
        <ns0:v>24.42</ns0:v>
      </ns0:c>
      <ns0:c r="C81" s="17">
        <ns0:f>--(B81&lt;'5b_股价与估值'!B2)</ns0:f>
        <ns0:v>0</ns0:v>
      </ns0:c>
    </ns0:row>
    <ns0:row r="82">
      <ns0:c r="A82" s="16" t="inlineStr">
        <ns0:is>
          <ns0:t>2025-02-24</ns0:t>
        </ns0:is>
      </ns0:c>
      <ns0:c r="B82" s="41" t="n">
        <ns0:v>24.05</ns0:v>
      </ns0:c>
      <ns0:c r="C82" s="17">
        <ns0:f>--(B82&lt;'5b_股价与估值'!B2)</ns0:f>
        <ns0:v>0</ns0:v>
      </ns0:c>
    </ns0:row>
    <ns0:row r="83">
      <ns0:c r="A83" s="16" t="inlineStr">
        <ns0:is>
          <ns0:t>2025-02-25</ns0:t>
        </ns0:is>
      </ns0:c>
      <ns0:c r="B83" s="41" t="n">
        <ns0:v>22.33</ns0:v>
      </ns0:c>
      <ns0:c r="C83" s="17">
        <ns0:f>--(B83&lt;'5b_股价与估值'!B2)</ns0:f>
        <ns0:v>0</ns0:v>
      </ns0:c>
    </ns0:row>
    <ns0:row r="84">
      <ns0:c r="A84" s="16" t="inlineStr">
        <ns0:is>
          <ns0:t>2025-02-26</ns0:t>
        </ns0:is>
      </ns0:c>
      <ns0:c r="B84" s="41" t="n">
        <ns0:v>23.34</ns0:v>
      </ns0:c>
      <ns0:c r="C84" s="17">
        <ns0:f>--(B84&lt;'5b_股价与估值'!B2)</ns0:f>
        <ns0:v>0</ns0:v>
      </ns0:c>
    </ns0:row>
    <ns0:row r="85">
      <ns0:c r="A85" s="16" t="inlineStr">
        <ns0:is>
          <ns0:t>2025-02-27</ns0:t>
        </ns0:is>
      </ns0:c>
      <ns0:c r="B85" s="41" t="n">
        <ns0:v>19.83</ns0:v>
      </ns0:c>
      <ns0:c r="C85" s="17">
        <ns0:f>--(B85&lt;'5b_股价与估值'!B2)</ns0:f>
        <ns0:v>0</ns0:v>
      </ns0:c>
    </ns0:row>
    <ns0:row r="86">
      <ns0:c r="A86" s="16" t="inlineStr">
        <ns0:is>
          <ns0:t>2025-02-28</ns0:t>
        </ns0:is>
      </ns0:c>
      <ns0:c r="B86" s="41" t="n">
        <ns0:v>19.95</ns0:v>
      </ns0:c>
      <ns0:c r="C86" s="17">
        <ns0:f>--(B86&lt;'5b_股价与估值'!B2)</ns0:f>
        <ns0:v>0</ns0:v>
      </ns0:c>
    </ns0:row>
    <ns0:row r="87">
      <ns0:c r="A87" s="16" t="inlineStr">
        <ns0:is>
          <ns0:t>2025-03-03</ns0:t>
        </ns0:is>
      </ns0:c>
      <ns0:c r="B87" s="41" t="n">
        <ns0:v>17.6</ns0:v>
      </ns0:c>
      <ns0:c r="C87" s="17">
        <ns0:f>--(B87&lt;'5b_股价与估值'!B2)</ns0:f>
        <ns0:v>0</ns0:v>
      </ns0:c>
    </ns0:row>
    <ns0:row r="88">
      <ns0:c r="A88" s="16" t="inlineStr">
        <ns0:is>
          <ns0:t>2025-03-04</ns0:t>
        </ns0:is>
      </ns0:c>
      <ns0:c r="B88" s="41" t="n">
        <ns0:v>16.88</ns0:v>
      </ns0:c>
      <ns0:c r="C88" s="17">
        <ns0:f>--(B88&lt;'5b_股价与估值'!B2)</ns0:f>
        <ns0:v>0</ns0:v>
      </ns0:c>
    </ns0:row>
    <ns0:row r="89">
      <ns0:c r="A89" s="16" t="inlineStr">
        <ns0:is>
          <ns0:t>2025-03-05</ns0:t>
        </ns0:is>
      </ns0:c>
      <ns0:c r="B89" s="41" t="n">
        <ns0:v>17.8</ns0:v>
      </ns0:c>
      <ns0:c r="C89" s="17">
        <ns0:f>--(B89&lt;'5b_股价与估值'!B2)</ns0:f>
        <ns0:v>0</ns0:v>
      </ns0:c>
    </ns0:row>
    <ns0:row r="90">
      <ns0:c r="A90" s="16" t="inlineStr">
        <ns0:is>
          <ns0:t>2025-03-06</ns0:t>
        </ns0:is>
      </ns0:c>
      <ns0:c r="B90" s="41" t="n">
        <ns0:v>15.95</ns0:v>
      </ns0:c>
      <ns0:c r="C90" s="17">
        <ns0:f>--(B90&lt;'5b_股价与估值'!B2)</ns0:f>
        <ns0:v>0</ns0:v>
      </ns0:c>
    </ns0:row>
    <ns0:row r="91">
      <ns0:c r="A91" s="16" t="inlineStr">
        <ns0:is>
          <ns0:t>2025-03-07</ns0:t>
        </ns0:is>
      </ns0:c>
      <ns0:c r="B91" s="41" t="n">
        <ns0:v>16.39</ns0:v>
      </ns0:c>
      <ns0:c r="C91" s="17">
        <ns0:f>--(B91&lt;'5b_股价与估值'!B2)</ns0:f>
        <ns0:v>0</ns0:v>
      </ns0:c>
    </ns0:row>
    <ns0:row r="92">
      <ns0:c r="A92" s="16" t="inlineStr">
        <ns0:is>
          <ns0:t>2025-03-10</ns0:t>
        </ns0:is>
      </ns0:c>
      <ns0:c r="B92" s="41" t="n">
        <ns0:v>16.01</ns0:v>
      </ns0:c>
      <ns0:c r="C92" s="17">
        <ns0:f>--(B92&lt;'5b_股价与估值'!B2)</ns0:f>
        <ns0:v>0</ns0:v>
      </ns0:c>
    </ns0:row>
    <ns0:row r="93">
      <ns0:c r="A93" s="16" t="inlineStr">
        <ns0:is>
          <ns0:t>2025-03-11</ns0:t>
        </ns0:is>
      </ns0:c>
      <ns0:c r="B93" s="41" t="n">
        <ns0:v>16.31</ns0:v>
      </ns0:c>
      <ns0:c r="C93" s="17">
        <ns0:f>--(B93&lt;'5b_股价与估值'!B2)</ns0:f>
        <ns0:v>0</ns0:v>
      </ns0:c>
    </ns0:row>
    <ns0:row r="94">
      <ns0:c r="A94" s="16" t="inlineStr">
        <ns0:is>
          <ns0:t>2025-03-12</ns0:t>
        </ns0:is>
      </ns0:c>
      <ns0:c r="B94" s="41" t="n">
        <ns0:v>16.58</ns0:v>
      </ns0:c>
      <ns0:c r="C94" s="17">
        <ns0:f>--(B94&lt;'5b_股价与估值'!B2)</ns0:f>
        <ns0:v>0</ns0:v>
      </ns0:c>
    </ns0:row>
    <ns0:row r="95">
      <ns0:c r="A95" s="16" t="inlineStr">
        <ns0:is>
          <ns0:t>2025-03-13</ns0:t>
        </ns0:is>
      </ns0:c>
      <ns0:c r="B95" s="41" t="n">
        <ns0:v>16.27</ns0:v>
      </ns0:c>
      <ns0:c r="C95" s="17">
        <ns0:f>--(B95&lt;'5b_股价与估值'!B2)</ns0:f>
        <ns0:v>0</ns0:v>
      </ns0:c>
    </ns0:row>
    <ns0:row r="96">
      <ns0:c r="A96" s="16" t="inlineStr">
        <ns0:is>
          <ns0:t>2025-03-14</ns0:t>
        </ns0:is>
      </ns0:c>
      <ns0:c r="B96" s="41" t="n">
        <ns0:v>18.4</ns0:v>
      </ns0:c>
      <ns0:c r="C96" s="17">
        <ns0:f>--(B96&lt;'5b_股价与估值'!B2)</ns0:f>
        <ns0:v>0</ns0:v>
      </ns0:c>
    </ns0:row>
    <ns0:row r="97">
      <ns0:c r="A97" s="16" t="inlineStr">
        <ns0:is>
          <ns0:t>2025-03-17</ns0:t>
        </ns0:is>
      </ns0:c>
      <ns0:c r="B97" s="41" t="n">
        <ns0:v>18.01</ns0:v>
      </ns0:c>
      <ns0:c r="C97" s="17">
        <ns0:f>--(B97&lt;'5b_股价与估值'!B2)</ns0:f>
        <ns0:v>0</ns0:v>
      </ns0:c>
    </ns0:row>
    <ns0:row r="98">
      <ns0:c r="A98" s="16" t="inlineStr">
        <ns0:is>
          <ns0:t>2025-03-18</ns0:t>
        </ns0:is>
      </ns0:c>
      <ns0:c r="B98" s="41" t="n">
        <ns0:v>16.78</ns0:v>
      </ns0:c>
      <ns0:c r="C98" s="17">
        <ns0:f>--(B98&lt;'5b_股价与估值'!B2)</ns0:f>
        <ns0:v>0</ns0:v>
      </ns0:c>
    </ns0:row>
    <ns0:row r="99">
      <ns0:c r="A99" s="16" t="inlineStr">
        <ns0:is>
          <ns0:t>2025-03-19</ns0:t>
        </ns0:is>
      </ns0:c>
      <ns0:c r="B99" s="41" t="n">
        <ns0:v>16.8</ns0:v>
      </ns0:c>
      <ns0:c r="C99" s="17">
        <ns0:f>--(B99&lt;'5b_股价与估值'!B2)</ns0:f>
        <ns0:v>0</ns0:v>
      </ns0:c>
    </ns0:row>
    <ns0:row r="100">
      <ns0:c r="A100" s="16" t="inlineStr">
        <ns0:is>
          <ns0:t>2025-03-20</ns0:t>
        </ns0:is>
      </ns0:c>
      <ns0:c r="B100" s="41" t="n">
        <ns0:v>15.96</ns0:v>
      </ns0:c>
      <ns0:c r="C100" s="17">
        <ns0:f>--(B100&lt;'5b_股价与估值'!B2)</ns0:f>
        <ns0:v>0</ns0:v>
      </ns0:c>
    </ns0:row>
    <ns0:row r="101">
      <ns0:c r="A101" s="16" t="inlineStr">
        <ns0:is>
          <ns0:t>2025-03-21</ns0:t>
        </ns0:is>
      </ns0:c>
      <ns0:c r="B101" s="41" t="n">
        <ns0:v>15.88</ns0:v>
      </ns0:c>
      <ns0:c r="C101" s="17">
        <ns0:f>--(B101&lt;'5b_股价与估值'!B2)</ns0:f>
        <ns0:v>0</ns0:v>
      </ns0:c>
    </ns0:row>
    <ns0:row r="102">
      <ns0:c r="A102" s="16" t="inlineStr">
        <ns0:is>
          <ns0:t>2025-03-24</ns0:t>
        </ns0:is>
      </ns0:c>
      <ns0:c r="B102" s="41" t="n">
        <ns0:v>16.51</ns0:v>
      </ns0:c>
      <ns0:c r="C102" s="17">
        <ns0:f>--(B102&lt;'5b_股价与估值'!B2)</ns0:f>
        <ns0:v>0</ns0:v>
      </ns0:c>
    </ns0:row>
    <ns0:row r="103">
      <ns0:c r="A103" s="16" t="inlineStr">
        <ns0:is>
          <ns0:t>2025-03-25</ns0:t>
        </ns0:is>
      </ns0:c>
      <ns0:c r="B103" s="41" t="n">
        <ns0:v>16.11</ns0:v>
      </ns0:c>
      <ns0:c r="C103" s="17">
        <ns0:f>--(B103&lt;'5b_股价与估值'!B2)</ns0:f>
        <ns0:v>0</ns0:v>
      </ns0:c>
    </ns0:row>
    <ns0:row r="104">
      <ns0:c r="A104" s="16" t="inlineStr">
        <ns0:is>
          <ns0:t>2025-03-26</ns0:t>
        </ns0:is>
      </ns0:c>
      <ns0:c r="B104" s="41" t="n">
        <ns0:v>14.95</ns0:v>
      </ns0:c>
      <ns0:c r="C104" s="17">
        <ns0:f>--(B104&lt;'5b_股价与估值'!B2)</ns0:f>
        <ns0:v>0</ns0:v>
      </ns0:c>
    </ns0:row>
    <ns0:row r="105">
      <ns0:c r="A105" s="16" t="inlineStr">
        <ns0:is>
          <ns0:t>2025-03-27</ns0:t>
        </ns0:is>
      </ns0:c>
      <ns0:c r="B105" s="41" t="n">
        <ns0:v>15.36</ns0:v>
      </ns0:c>
      <ns0:c r="C105" s="17">
        <ns0:f>--(B105&lt;'5b_股价与估值'!B2)</ns0:f>
        <ns0:v>0</ns0:v>
      </ns0:c>
    </ns0:row>
    <ns0:row r="106">
      <ns0:c r="A106" s="16" t="inlineStr">
        <ns0:is>
          <ns0:t>2025-03-28</ns0:t>
        </ns0:is>
      </ns0:c>
      <ns0:c r="B106" s="41" t="n">
        <ns0:v>14.52</ns0:v>
      </ns0:c>
      <ns0:c r="C106" s="17">
        <ns0:f>--(B106&lt;'5b_股价与估值'!B2)</ns0:f>
        <ns0:v>0</ns0:v>
      </ns0:c>
    </ns0:row>
    <ns0:row r="107">
      <ns0:c r="A107" s="16" t="inlineStr">
        <ns0:is>
          <ns0:t>2025-03-31</ns0:t>
        </ns0:is>
      </ns0:c>
      <ns0:c r="B107" s="41" t="n">
        <ns0:v>13.57</ns0:v>
      </ns0:c>
      <ns0:c r="C107" s="17">
        <ns0:f>--(B107&lt;'5b_股价与估值'!B2)</ns0:f>
        <ns0:v>0</ns0:v>
      </ns0:c>
    </ns0:row>
    <ns0:row r="108">
      <ns0:c r="A108" s="16" t="inlineStr">
        <ns0:is>
          <ns0:t>2025-04-01</ns0:t>
        </ns0:is>
      </ns0:c>
      <ns0:c r="B108" s="41" t="n">
        <ns0:v>13.92</ns0:v>
      </ns0:c>
      <ns0:c r="C108" s="17">
        <ns0:f>--(B108&lt;'5b_股价与估值'!B2)</ns0:f>
        <ns0:v>0</ns0:v>
      </ns0:c>
    </ns0:row>
    <ns0:row r="109">
      <ns0:c r="A109" s="16" t="inlineStr">
        <ns0:is>
          <ns0:t>2025-04-02</ns0:t>
        </ns0:is>
      </ns0:c>
      <ns0:c r="B109" s="41" t="n">
        <ns0:v>13.71</ns0:v>
      </ns0:c>
      <ns0:c r="C109" s="17">
        <ns0:f>--(B109&lt;'5b_股价与估值'!B2)</ns0:f>
        <ns0:v>0</ns0:v>
      </ns0:c>
    </ns0:row>
    <ns0:row r="110">
      <ns0:c r="A110" s="16" t="inlineStr">
        <ns0:is>
          <ns0:t>2025-04-03</ns0:t>
        </ns0:is>
      </ns0:c>
      <ns0:c r="B110" s="41" t="n">
        <ns0:v>12.88</ns0:v>
      </ns0:c>
      <ns0:c r="C110" s="17">
        <ns0:f>--(B110&lt;'5b_股价与估值'!B2)</ns0:f>
        <ns0:v>0</ns0:v>
      </ns0:c>
    </ns0:row>
    <ns0:row r="111">
      <ns0:c r="A111" s="16" t="inlineStr">
        <ns0:is>
          <ns0:t>2025-04-04</ns0:t>
        </ns0:is>
      </ns0:c>
      <ns0:c r="B111" s="41" t="n">
        <ns0:v>11.23</ns0:v>
      </ns0:c>
      <ns0:c r="C111" s="17">
        <ns0:f>--(B111&lt;'5b_股价与估值'!B2)</ns0:f>
        <ns0:v>0</ns0:v>
      </ns0:c>
    </ns0:row>
    <ns0:row r="112">
      <ns0:c r="A112" s="16" t="inlineStr">
        <ns0:is>
          <ns0:t>2025-04-07</ns0:t>
        </ns0:is>
      </ns0:c>
      <ns0:c r="B112" s="41" t="n">
        <ns0:v>10.17</ns0:v>
      </ns0:c>
      <ns0:c r="C112" s="17">
        <ns0:f>--(B112&lt;'5b_股价与估值'!B2)</ns0:f>
        <ns0:v>0</ns0:v>
      </ns0:c>
    </ns0:row>
    <ns0:row r="113">
      <ns0:c r="A113" s="16" t="inlineStr">
        <ns0:is>
          <ns0:t>2025-04-08</ns0:t>
        </ns0:is>
      </ns0:c>
      <ns0:c r="B113" s="41" t="n">
        <ns0:v>8.84</ns0:v>
      </ns0:c>
      <ns0:c r="C113" s="17">
        <ns0:f>--(B113&lt;'5b_股价与估值'!B2)</ns0:f>
        <ns0:v>0</ns0:v>
      </ns0:c>
    </ns0:row>
    <ns0:row r="114">
      <ns0:c r="A114" s="16" t="inlineStr">
        <ns0:is>
          <ns0:t>2025-04-09</ns0:t>
        </ns0:is>
      </ns0:c>
      <ns0:c r="B114" s="41" t="n">
        <ns0:v>10.77</ns0:v>
      </ns0:c>
      <ns0:c r="C114" s="17">
        <ns0:f>--(B114&lt;'5b_股价与估值'!B2)</ns0:f>
        <ns0:v>0</ns0:v>
      </ns0:c>
    </ns0:row>
    <ns0:row r="115">
      <ns0:c r="A115" s="16" t="inlineStr">
        <ns0:is>
          <ns0:t>2025-04-10</ns0:t>
        </ns0:is>
      </ns0:c>
      <ns0:c r="B115" s="41" t="n">
        <ns0:v>9.81</ns0:v>
      </ns0:c>
      <ns0:c r="C115" s="17">
        <ns0:f>--(B115&lt;'5b_股价与估值'!B2)</ns0:f>
        <ns0:v>0</ns0:v>
      </ns0:c>
    </ns0:row>
    <ns0:row r="116">
      <ns0:c r="A116" s="16" t="inlineStr">
        <ns0:is>
          <ns0:t>2025-04-11</ns0:t>
        </ns0:is>
      </ns0:c>
      <ns0:c r="B116" s="41" t="n">
        <ns0:v>9.949999999999999</ns0:v>
      </ns0:c>
      <ns0:c r="C116" s="17">
        <ns0:f>--(B116&lt;'5b_股价与估值'!B2)</ns0:f>
        <ns0:v>0</ns0:v>
      </ns0:c>
    </ns0:row>
    <ns0:row r="117">
      <ns0:c r="A117" s="16" t="inlineStr">
        <ns0:is>
          <ns0:t>2025-04-14</ns0:t>
        </ns0:is>
      </ns0:c>
      <ns0:c r="B117" s="41" t="n">
        <ns0:v>10.03</ns0:v>
      </ns0:c>
      <ns0:c r="C117" s="17">
        <ns0:f>--(B117&lt;'5b_股价与估值'!B2)</ns0:f>
        <ns0:v>0</ns0:v>
      </ns0:c>
    </ns0:row>
    <ns0:row r="118">
      <ns0:c r="A118" s="16" t="inlineStr">
        <ns0:is>
          <ns0:t>2025-04-15</ns0:t>
        </ns0:is>
      </ns0:c>
      <ns0:c r="B118" s="41" t="n">
        <ns0:v>9.460000000000001</ns0:v>
      </ns0:c>
      <ns0:c r="C118" s="17">
        <ns0:f>--(B118&lt;'5b_股价与估值'!B2)</ns0:f>
        <ns0:v>0</ns0:v>
      </ns0:c>
    </ns0:row>
    <ns0:row r="119">
      <ns0:c r="A119" s="16" t="inlineStr">
        <ns0:is>
          <ns0:t>2025-04-16</ns0:t>
        </ns0:is>
      </ns0:c>
      <ns0:c r="B119" s="41" t="n">
        <ns0:v>8.630000000000001</ns0:v>
      </ns0:c>
      <ns0:c r="C119" s="17">
        <ns0:f>--(B119&lt;'5b_股价与估值'!B2)</ns0:f>
        <ns0:v>0</ns0:v>
      </ns0:c>
    </ns0:row>
    <ns0:row r="120">
      <ns0:c r="A120" s="16" t="inlineStr">
        <ns0:is>
          <ns0:t>2025-04-17</ns0:t>
        </ns0:is>
      </ns0:c>
      <ns0:c r="B120" s="41" t="n">
        <ns0:v>8.23</ns0:v>
      </ns0:c>
      <ns0:c r="C120" s="17">
        <ns0:f>--(B120&lt;'5b_股价与估值'!B2)</ns0:f>
        <ns0:v>0</ns0:v>
      </ns0:c>
    </ns0:row>
    <ns0:row r="121">
      <ns0:c r="A121" s="16" t="inlineStr">
        <ns0:is>
          <ns0:t>2025-04-21</ns0:t>
        </ns0:is>
      </ns0:c>
      <ns0:c r="B121" s="41" t="n">
        <ns0:v>8.44</ns0:v>
      </ns0:c>
      <ns0:c r="C121" s="17">
        <ns0:f>--(B121&lt;'5b_股价与估值'!B2)</ns0:f>
        <ns0:v>0</ns0:v>
      </ns0:c>
    </ns0:row>
    <ns0:row r="122">
      <ns0:c r="A122" s="16" t="inlineStr">
        <ns0:is>
          <ns0:t>2025-04-22</ns0:t>
        </ns0:is>
      </ns0:c>
      <ns0:c r="B122" s="41" t="n">
        <ns0:v>8.789999999999999</ns0:v>
      </ns0:c>
      <ns0:c r="C122" s="17">
        <ns0:f>--(B122&lt;'5b_股价与估值'!B2)</ns0:f>
        <ns0:v>0</ns0:v>
      </ns0:c>
    </ns0:row>
    <ns0:row r="123">
      <ns0:c r="A123" s="16" t="inlineStr">
        <ns0:is>
          <ns0:t>2025-04-23</ns0:t>
        </ns0:is>
      </ns0:c>
      <ns0:c r="B123" s="41" t="n">
        <ns0:v>7.3</ns0:v>
      </ns0:c>
      <ns0:c r="C123" s="17">
        <ns0:f>--(B123&lt;'5b_股价与估值'!B2)</ns0:f>
        <ns0:v>0</ns0:v>
      </ns0:c>
    </ns0:row>
    <ns0:row r="124">
      <ns0:c r="A124" s="16" t="inlineStr">
        <ns0:is>
          <ns0:t>2025-04-24</ns0:t>
        </ns0:is>
      </ns0:c>
      <ns0:c r="B124" s="41" t="n">
        <ns0:v>7.09</ns0:v>
      </ns0:c>
      <ns0:c r="C124" s="17">
        <ns0:f>--(B124&lt;'5b_股价与估值'!B2)</ns0:f>
        <ns0:v>0</ns0:v>
      </ns0:c>
    </ns0:row>
    <ns0:row r="125">
      <ns0:c r="A125" s="16" t="inlineStr">
        <ns0:is>
          <ns0:t>2025-04-25</ns0:t>
        </ns0:is>
      </ns0:c>
      <ns0:c r="B125" s="41" t="n">
        <ns0:v>7.04</ns0:v>
      </ns0:c>
      <ns0:c r="C125" s="17">
        <ns0:f>--(B125&lt;'5b_股价与估值'!B2)</ns0:f>
        <ns0:v>0</ns0:v>
      </ns0:c>
    </ns0:row>
    <ns0:row r="126">
      <ns0:c r="A126" s="16" t="inlineStr">
        <ns0:is>
          <ns0:t>2025-04-28</ns0:t>
        </ns0:is>
      </ns0:c>
      <ns0:c r="B126" s="41" t="n">
        <ns0:v>6.65</ns0:v>
      </ns0:c>
      <ns0:c r="C126" s="17">
        <ns0:f>--(B126&lt;'5b_股价与估值'!B2)</ns0:f>
        <ns0:v>0</ns0:v>
      </ns0:c>
    </ns0:row>
    <ns0:row r="127">
      <ns0:c r="A127" s="16" t="inlineStr">
        <ns0:is>
          <ns0:t>2025-04-29</ns0:t>
        </ns0:is>
      </ns0:c>
      <ns0:c r="B127" s="41" t="n">
        <ns0:v>6.7</ns0:v>
      </ns0:c>
      <ns0:c r="C127" s="17">
        <ns0:f>--(B127&lt;'5b_股价与估值'!B2)</ns0:f>
        <ns0:v>0</ns0:v>
      </ns0:c>
    </ns0:row>
    <ns0:row r="128">
      <ns0:c r="A128" s="16" t="inlineStr">
        <ns0:is>
          <ns0:t>2025-04-30</ns0:t>
        </ns0:is>
      </ns0:c>
      <ns0:c r="B128" s="41" t="n">
        <ns0:v>6.49</ns0:v>
      </ns0:c>
      <ns0:c r="C128" s="17">
        <ns0:f>--(B128&lt;'5b_股价与估值'!B2)</ns0:f>
        <ns0:v>0</ns0:v>
      </ns0:c>
    </ns0:row>
    <ns0:row r="129">
      <ns0:c r="A129" s="16" t="inlineStr">
        <ns0:is>
          <ns0:t>2025-05-01</ns0:t>
        </ns0:is>
      </ns0:c>
      <ns0:c r="B129" s="41" t="n">
        <ns0:v>6.58</ns0:v>
      </ns0:c>
      <ns0:c r="C129" s="17">
        <ns0:f>--(B129&lt;'5b_股价与估值'!B2)</ns0:f>
        <ns0:v>0</ns0:v>
      </ns0:c>
    </ns0:row>
    <ns0:row r="130">
      <ns0:c r="A130" s="16" t="inlineStr">
        <ns0:is>
          <ns0:t>2025-05-02</ns0:t>
        </ns0:is>
      </ns0:c>
      <ns0:c r="B130" s="41" t="n">
        <ns0:v>7.35</ns0:v>
      </ns0:c>
      <ns0:c r="C130" s="17">
        <ns0:f>--(B130&lt;'5b_股价与估值'!B2)</ns0:f>
        <ns0:v>0</ns0:v>
      </ns0:c>
    </ns0:row>
    <ns0:row r="131">
      <ns0:c r="A131" s="16" t="inlineStr">
        <ns0:is>
          <ns0:t>2025-05-05</ns0:t>
        </ns0:is>
      </ns0:c>
      <ns0:c r="B131" s="41" t="n">
        <ns0:v>6.85</ns0:v>
      </ns0:c>
      <ns0:c r="C131" s="17">
        <ns0:f>--(B131&lt;'5b_股价与估值'!B2)</ns0:f>
        <ns0:v>0</ns0:v>
      </ns0:c>
    </ns0:row>
    <ns0:row r="132">
      <ns0:c r="A132" s="16" t="inlineStr">
        <ns0:is>
          <ns0:t>2025-05-06</ns0:t>
        </ns0:is>
      </ns0:c>
      <ns0:c r="B132" s="41" t="n">
        <ns0:v>9.02</ns0:v>
      </ns0:c>
      <ns0:c r="C132" s="17">
        <ns0:f>--(B132&lt;'5b_股价与估值'!B2)</ns0:f>
        <ns0:v>0</ns0:v>
      </ns0:c>
    </ns0:row>
    <ns0:row r="133">
      <ns0:c r="A133" s="16" t="inlineStr">
        <ns0:is>
          <ns0:t>2025-05-07</ns0:t>
        </ns0:is>
      </ns0:c>
      <ns0:c r="B133" s="41" t="n">
        <ns0:v>8.31</ns0:v>
      </ns0:c>
      <ns0:c r="C133" s="17">
        <ns0:f>--(B133&lt;'5b_股价与估值'!B2)</ns0:f>
        <ns0:v>0</ns0:v>
      </ns0:c>
    </ns0:row>
    <ns0:row r="134">
      <ns0:c r="A134" s="16" t="inlineStr">
        <ns0:is>
          <ns0:t>2025-05-08</ns0:t>
        </ns0:is>
      </ns0:c>
      <ns0:c r="B134" s="41" t="n">
        <ns0:v>8.27</ns0:v>
      </ns0:c>
      <ns0:c r="C134" s="17">
        <ns0:f>--(B134&lt;'5b_股价与估值'!B2)</ns0:f>
        <ns0:v>0</ns0:v>
      </ns0:c>
    </ns0:row>
    <ns0:row r="135">
      <ns0:c r="A135" s="16" t="inlineStr">
        <ns0:is>
          <ns0:t>2025-05-09</ns0:t>
        </ns0:is>
      </ns0:c>
      <ns0:c r="B135" s="41" t="n">
        <ns0:v>8.01</ns0:v>
      </ns0:c>
      <ns0:c r="C135" s="17">
        <ns0:f>--(B135&lt;'5b_股价与估值'!B2)</ns0:f>
        <ns0:v>0</ns0:v>
      </ns0:c>
    </ns0:row>
    <ns0:row r="136">
      <ns0:c r="A136" s="16" t="inlineStr">
        <ns0:is>
          <ns0:t>2025-05-12</ns0:t>
        </ns0:is>
      </ns0:c>
      <ns0:c r="B136" s="41" t="n">
        <ns0:v>10.21</ns0:v>
      </ns0:c>
      <ns0:c r="C136" s="17">
        <ns0:f>--(B136&lt;'5b_股价与估值'!B2)</ns0:f>
        <ns0:v>0</ns0:v>
      </ns0:c>
    </ns0:row>
    <ns0:row r="137">
      <ns0:c r="A137" s="16" t="inlineStr">
        <ns0:is>
          <ns0:t>2025-05-13</ns0:t>
        </ns0:is>
      </ns0:c>
      <ns0:c r="B137" s="41" t="n">
        <ns0:v>9.59</ns0:v>
      </ns0:c>
      <ns0:c r="C137" s="17">
        <ns0:f>--(B137&lt;'5b_股价与估值'!B2)</ns0:f>
        <ns0:v>0</ns0:v>
      </ns0:c>
    </ns0:row>
    <ns0:row r="138">
      <ns0:c r="A138" s="16" t="inlineStr">
        <ns0:is>
          <ns0:t>2025-05-14</ns0:t>
        </ns0:is>
      </ns0:c>
      <ns0:c r="B138" s="41" t="n">
        <ns0:v>9.44</ns0:v>
      </ns0:c>
      <ns0:c r="C138" s="17">
        <ns0:f>--(B138&lt;'5b_股价与估值'!B2)</ns0:f>
        <ns0:v>0</ns0:v>
      </ns0:c>
    </ns0:row>
    <ns0:row r="139">
      <ns0:c r="A139" s="16" t="inlineStr">
        <ns0:is>
          <ns0:t>2025-05-15</ns0:t>
        </ns0:is>
      </ns0:c>
      <ns0:c r="B139" s="41" t="n">
        <ns0:v>8.76</ns0:v>
      </ns0:c>
      <ns0:c r="C139" s="17">
        <ns0:f>--(B139&lt;'5b_股价与估值'!B2)</ns0:f>
        <ns0:v>0</ns0:v>
      </ns0:c>
    </ns0:row>
    <ns0:row r="140">
      <ns0:c r="A140" s="16" t="inlineStr">
        <ns0:is>
          <ns0:t>2025-05-16</ns0:t>
        </ns0:is>
      </ns0:c>
      <ns0:c r="B140" s="41" t="n">
        <ns0:v>8.734999999999999</ns0:v>
      </ns0:c>
      <ns0:c r="C140" s="17">
        <ns0:f>--(B140&lt;'5b_股价与估值'!B2)</ns0:f>
        <ns0:v>0</ns0:v>
      </ns0:c>
    </ns0:row>
    <ns0:row r="141">
      <ns0:c r="A141" s="16" t="inlineStr">
        <ns0:is>
          <ns0:t>2025-05-19</ns0:t>
        </ns0:is>
      </ns0:c>
      <ns0:c r="B141" s="41" t="n">
        <ns0:v>8.550000000000001</ns0:v>
      </ns0:c>
      <ns0:c r="C141" s="17">
        <ns0:f>--(B141&lt;'5b_股价与估值'!B2)</ns0:f>
        <ns0:v>0</ns0:v>
      </ns0:c>
    </ns0:row>
    <ns0:row r="142">
      <ns0:c r="A142" s="16" t="inlineStr">
        <ns0:is>
          <ns0:t>2025-05-20</ns0:t>
        </ns0:is>
      </ns0:c>
      <ns0:c r="B142" s="41" t="n">
        <ns0:v>8.449999999999999</ns0:v>
      </ns0:c>
      <ns0:c r="C142" s="17">
        <ns0:f>--(B142&lt;'5b_股价与估值'!B2)</ns0:f>
        <ns0:v>0</ns0:v>
      </ns0:c>
    </ns0:row>
    <ns0:row r="143">
      <ns0:c r="A143" s="16" t="inlineStr">
        <ns0:is>
          <ns0:t>2025-05-21</ns0:t>
        </ns0:is>
      </ns0:c>
      <ns0:c r="B143" s="41" t="n">
        <ns0:v>10.26</ns0:v>
      </ns0:c>
      <ns0:c r="C143" s="17">
        <ns0:f>--(B143&lt;'5b_股价与估值'!B2)</ns0:f>
        <ns0:v>0</ns0:v>
      </ns0:c>
    </ns0:row>
    <ns0:row r="144">
      <ns0:c r="A144" s="16" t="inlineStr">
        <ns0:is>
          <ns0:t>2025-05-22</ns0:t>
        </ns0:is>
      </ns0:c>
      <ns0:c r="B144" s="41" t="n">
        <ns0:v>10.08</ns0:v>
      </ns0:c>
      <ns0:c r="C144" s="17">
        <ns0:f>--(B144&lt;'5b_股价与估值'!B2)</ns0:f>
        <ns0:v>0</ns0:v>
      </ns0:c>
    </ns0:row>
    <ns0:row r="145">
      <ns0:c r="A145" s="16" t="inlineStr">
        <ns0:is>
          <ns0:t>2025-05-23</ns0:t>
        </ns0:is>
      </ns0:c>
      <ns0:c r="B145" s="41" t="n">
        <ns0:v>9.109999999999999</ns0:v>
      </ns0:c>
      <ns0:c r="C145" s="17">
        <ns0:f>--(B145&lt;'5b_股价与估值'!B2)</ns0:f>
        <ns0:v>0</ns0:v>
      </ns0:c>
    </ns0:row>
    <ns0:row r="146">
      <ns0:c r="A146" s="16" t="inlineStr">
        <ns0:is>
          <ns0:t>2025-05-27</ns0:t>
        </ns0:is>
      </ns0:c>
      <ns0:c r="B146" s="41" t="n">
        <ns0:v>10.77</ns0:v>
      </ns0:c>
      <ns0:c r="C146" s="17">
        <ns0:f>--(B146&lt;'5b_股价与估值'!B2)</ns0:f>
        <ns0:v>0</ns0:v>
      </ns0:c>
    </ns0:row>
    <ns0:row r="147">
      <ns0:c r="A147" s="16" t="inlineStr">
        <ns0:is>
          <ns0:t>2025-05-28</ns0:t>
        </ns0:is>
      </ns0:c>
      <ns0:c r="B147" s="41" t="n">
        <ns0:v>10.55</ns0:v>
      </ns0:c>
      <ns0:c r="C147" s="17">
        <ns0:f>--(B147&lt;'5b_股价与估值'!B2)</ns0:f>
        <ns0:v>0</ns0:v>
      </ns0:c>
    </ns0:row>
    <ns0:row r="148">
      <ns0:c r="A148" s="16" t="inlineStr">
        <ns0:is>
          <ns0:t>2025-05-29</ns0:t>
        </ns0:is>
      </ns0:c>
      <ns0:c r="B148" s="41" t="n">
        <ns0:v>10.17</ns0:v>
      </ns0:c>
      <ns0:c r="C148" s="17">
        <ns0:f>--(B148&lt;'5b_股价与估值'!B2)</ns0:f>
        <ns0:v>0</ns0:v>
      </ns0:c>
    </ns0:row>
    <ns0:row r="149">
      <ns0:c r="A149" s="16" t="inlineStr">
        <ns0:is>
          <ns0:t>2025-05-30</ns0:t>
        </ns0:is>
      </ns0:c>
      <ns0:c r="B149" s="41" t="n">
        <ns0:v>9.9</ns0:v>
      </ns0:c>
      <ns0:c r="C149" s="17">
        <ns0:f>--(B149&lt;'5b_股价与估值'!B2)</ns0:f>
        <ns0:v>0</ns0:v>
      </ns0:c>
    </ns0:row>
    <ns0:row r="150">
      <ns0:c r="A150" s="16" t="inlineStr">
        <ns0:is>
          <ns0:t>2025-06-02</ns0:t>
        </ns0:is>
      </ns0:c>
      <ns0:c r="B150" s="41" t="n">
        <ns0:v>9.800000000000001</ns0:v>
      </ns0:c>
      <ns0:c r="C150" s="17">
        <ns0:f>--(B150&lt;'5b_股价与估值'!B2)</ns0:f>
        <ns0:v>0</ns0:v>
      </ns0:c>
    </ns0:row>
    <ns0:row r="151">
      <ns0:c r="A151" s="16" t="inlineStr">
        <ns0:is>
          <ns0:t>2025-06-03</ns0:t>
        </ns0:is>
      </ns0:c>
      <ns0:c r="B151" s="41" t="n">
        <ns0:v>9.609999999999999</ns0:v>
      </ns0:c>
      <ns0:c r="C151" s="17">
        <ns0:f>--(B151&lt;'5b_股价与估值'!B2)</ns0:f>
        <ns0:v>0</ns0:v>
      </ns0:c>
    </ns0:row>
    <ns0:row r="152">
      <ns0:c r="A152" s="16" t="inlineStr">
        <ns0:is>
          <ns0:t>2025-06-04</ns0:t>
        </ns0:is>
      </ns0:c>
      <ns0:c r="B152" s="41" t="n">
        <ns0:v>9.16</ns0:v>
      </ns0:c>
      <ns0:c r="C152" s="17">
        <ns0:f>--(B152&lt;'5b_股价与估值'!B2)</ns0:f>
        <ns0:v>0</ns0:v>
      </ns0:c>
    </ns0:row>
    <ns0:row r="153">
      <ns0:c r="A153" s="16" t="inlineStr">
        <ns0:is>
          <ns0:t>2025-06-05</ns0:t>
        </ns0:is>
      </ns0:c>
      <ns0:c r="B153" s="41" t="n">
        <ns0:v>8.75</ns0:v>
      </ns0:c>
      <ns0:c r="C153" s="17">
        <ns0:f>--(B153&lt;'5b_股价与估值'!B2)</ns0:f>
        <ns0:v>0</ns0:v>
      </ns0:c>
    </ns0:row>
    <ns0:row r="154">
      <ns0:c r="A154" s="16" t="inlineStr">
        <ns0:is>
          <ns0:t>2025-06-06</ns0:t>
        </ns0:is>
      </ns0:c>
      <ns0:c r="B154" s="41" t="n">
        <ns0:v>8.82</ns0:v>
      </ns0:c>
      <ns0:c r="C154" s="17">
        <ns0:f>--(B154&lt;'5b_股价与估值'!B2)</ns0:f>
        <ns0:v>0</ns0:v>
      </ns0:c>
    </ns0:row>
    <ns0:row r="155">
      <ns0:c r="A155" s="16" t="inlineStr">
        <ns0:is>
          <ns0:t>2025-06-09</ns0:t>
        </ns0:is>
      </ns0:c>
      <ns0:c r="B155" s="41" t="n">
        <ns0:v>9.15</ns0:v>
      </ns0:c>
      <ns0:c r="C155" s="17">
        <ns0:f>--(B155&lt;'5b_股价与估值'!B2)</ns0:f>
        <ns0:v>0</ns0:v>
      </ns0:c>
    </ns0:row>
    <ns0:row r="156">
      <ns0:c r="A156" s="16" t="inlineStr">
        <ns0:is>
          <ns0:t>2025-06-10</ns0:t>
        </ns0:is>
      </ns0:c>
      <ns0:c r="B156" s="41" t="n">
        <ns0:v>8.92</ns0:v>
      </ns0:c>
      <ns0:c r="C156" s="17">
        <ns0:f>--(B156&lt;'5b_股价与估值'!B2)</ns0:f>
        <ns0:v>0</ns0:v>
      </ns0:c>
    </ns0:row>
    <ns0:row r="157">
      <ns0:c r="A157" s="16" t="inlineStr">
        <ns0:is>
          <ns0:t>2025-06-11</ns0:t>
        </ns0:is>
      </ns0:c>
      <ns0:c r="B157" s="41" t="n">
        <ns0:v>8.779999999999999</ns0:v>
      </ns0:c>
      <ns0:c r="C157" s="17">
        <ns0:f>--(B157&lt;'5b_股价与估值'!B2)</ns0:f>
        <ns0:v>0</ns0:v>
      </ns0:c>
    </ns0:row>
    <ns0:row r="158">
      <ns0:c r="A158" s="16" t="inlineStr">
        <ns0:is>
          <ns0:t>2025-06-12</ns0:t>
        </ns0:is>
      </ns0:c>
      <ns0:c r="B158" s="41" t="n">
        <ns0:v>8.529999999999999</ns0:v>
      </ns0:c>
      <ns0:c r="C158" s="17">
        <ns0:f>--(B158&lt;'5b_股价与估值'!B2)</ns0:f>
        <ns0:v>0</ns0:v>
      </ns0:c>
    </ns0:row>
    <ns0:row r="159">
      <ns0:c r="A159" s="16" t="inlineStr">
        <ns0:is>
          <ns0:t>2025-06-13</ns0:t>
        </ns0:is>
      </ns0:c>
      <ns0:c r="B159" s="41" t="n">
        <ns0:v>7.85</ns0:v>
      </ns0:c>
      <ns0:c r="C159" s="17">
        <ns0:f>--(B159&lt;'5b_股价与估值'!B2)</ns0:f>
        <ns0:v>0</ns0:v>
      </ns0:c>
    </ns0:row>
    <ns0:row r="160">
      <ns0:c r="A160" s="16" t="inlineStr">
        <ns0:is>
          <ns0:t>2025-06-16</ns0:t>
        </ns0:is>
      </ns0:c>
      <ns0:c r="B160" s="41" t="n">
        <ns0:v>8.16</ns0:v>
      </ns0:c>
      <ns0:c r="C160" s="17">
        <ns0:f>--(B160&lt;'5b_股价与估值'!B2)</ns0:f>
        <ns0:v>0</ns0:v>
      </ns0:c>
    </ns0:row>
    <ns0:row r="161">
      <ns0:c r="A161" s="16" t="inlineStr">
        <ns0:is>
          <ns0:t>2025-06-17</ns0:t>
        </ns0:is>
      </ns0:c>
      <ns0:c r="B161" s="41" t="n">
        <ns0:v>7.72</ns0:v>
      </ns0:c>
      <ns0:c r="C161" s="17">
        <ns0:f>--(B161&lt;'5b_股价与估值'!B2)</ns0:f>
        <ns0:v>0</ns0:v>
      </ns0:c>
    </ns0:row>
    <ns0:row r="162">
      <ns0:c r="A162" s="16" t="inlineStr">
        <ns0:is>
          <ns0:t>2025-06-18</ns0:t>
        </ns0:is>
      </ns0:c>
      <ns0:c r="B162" s="41" t="n">
        <ns0:v>7.66</ns0:v>
      </ns0:c>
      <ns0:c r="C162" s="17">
        <ns0:f>--(B162&lt;'5b_股价与估值'!B2)</ns0:f>
        <ns0:v>0</ns0:v>
      </ns0:c>
    </ns0:row>
    <ns0:row r="163">
      <ns0:c r="A163" s="16" t="inlineStr">
        <ns0:is>
          <ns0:t>2025-06-20</ns0:t>
        </ns0:is>
      </ns0:c>
      <ns0:c r="B163" s="41" t="n">
        <ns0:v>7.51</ns0:v>
      </ns0:c>
      <ns0:c r="C163" s="17">
        <ns0:f>--(B163&lt;'5b_股价与估值'!B2)</ns0:f>
        <ns0:v>0</ns0:v>
      </ns0:c>
    </ns0:row>
    <ns0:row r="164">
      <ns0:c r="A164" s="16" t="inlineStr">
        <ns0:is>
          <ns0:t>2025-06-23</ns0:t>
        </ns0:is>
      </ns0:c>
      <ns0:c r="B164" s="41" t="n">
        <ns0:v>7.49</ns0:v>
      </ns0:c>
      <ns0:c r="C164" s="17">
        <ns0:f>--(B164&lt;'5b_股价与估值'!B2)</ns0:f>
        <ns0:v>0</ns0:v>
      </ns0:c>
    </ns0:row>
    <ns0:row r="165">
      <ns0:c r="A165" s="16" t="inlineStr">
        <ns0:is>
          <ns0:t>2025-06-24</ns0:t>
        </ns0:is>
      </ns0:c>
      <ns0:c r="B165" s="41" t="n">
        <ns0:v>8.06</ns0:v>
      </ns0:c>
      <ns0:c r="C165" s="17">
        <ns0:f>--(B165&lt;'5b_股价与估值'!B2)</ns0:f>
        <ns0:v>0</ns0:v>
      </ns0:c>
    </ns0:row>
    <ns0:row r="166">
      <ns0:c r="A166" s="16" t="inlineStr">
        <ns0:is>
          <ns0:t>2025-06-25</ns0:t>
        </ns0:is>
      </ns0:c>
      <ns0:c r="B166" s="41" t="n">
        <ns0:v>7.86</ns0:v>
      </ns0:c>
      <ns0:c r="C166" s="17">
        <ns0:f>--(B166&lt;'5b_股价与估值'!B2)</ns0:f>
        <ns0:v>0</ns0:v>
      </ns0:c>
    </ns0:row>
    <ns0:row r="167">
      <ns0:c r="A167" s="16" t="inlineStr">
        <ns0:is>
          <ns0:t>2025-06-26</ns0:t>
        </ns0:is>
      </ns0:c>
      <ns0:c r="B167" s="41" t="n">
        <ns0:v>8.25</ns0:v>
      </ns0:c>
      <ns0:c r="C167" s="17">
        <ns0:f>--(B167&lt;'5b_股价与估值'!B2)</ns0:f>
        <ns0:v>0</ns0:v>
      </ns0:c>
    </ns0:row>
    <ns0:row r="168">
      <ns0:c r="A168" s="16" t="inlineStr">
        <ns0:is>
          <ns0:t>2025-06-27</ns0:t>
        </ns0:is>
      </ns0:c>
      <ns0:c r="B168" s="41" t="n">
        <ns0:v>8.029999999999999</ns0:v>
      </ns0:c>
      <ns0:c r="C168" s="17">
        <ns0:f>--(B168&lt;'5b_股价与估值'!B2)</ns0:f>
        <ns0:v>0</ns0:v>
      </ns0:c>
    </ns0:row>
    <ns0:row r="169">
      <ns0:c r="A169" s="16" t="inlineStr">
        <ns0:is>
          <ns0:t>2025-06-30</ns0:t>
        </ns0:is>
      </ns0:c>
      <ns0:c r="B169" s="41" t="n">
        <ns0:v>7.88</ns0:v>
      </ns0:c>
      <ns0:c r="C169" s="17">
        <ns0:f>--(B169&lt;'5b_股价与估值'!B2)</ns0:f>
        <ns0:v>0</ns0:v>
      </ns0:c>
    </ns0:row>
    <ns0:row r="170">
      <ns0:c r="A170" s="16" t="inlineStr">
        <ns0:is>
          <ns0:t>2025-07-01</ns0:t>
        </ns0:is>
      </ns0:c>
      <ns0:c r="B170" s="41" t="n">
        <ns0:v>7.64</ns0:v>
      </ns0:c>
      <ns0:c r="C170" s="17">
        <ns0:f>--(B170&lt;'5b_股价与估值'!B2)</ns0:f>
        <ns0:v>0</ns0:v>
      </ns0:c>
    </ns0:row>
    <ns0:row r="171">
      <ns0:c r="A171" s="16" t="inlineStr">
        <ns0:is>
          <ns0:t>2025-07-02</ns0:t>
        </ns0:is>
      </ns0:c>
      <ns0:c r="B171" s="41" t="n">
        <ns0:v>8.02</ns0:v>
      </ns0:c>
      <ns0:c r="C171" s="17">
        <ns0:f>--(B171&lt;'5b_股价与估值'!B2)</ns0:f>
        <ns0:v>0</ns0:v>
      </ns0:c>
    </ns0:row>
    <ns0:row r="172">
      <ns0:c r="A172" s="16" t="inlineStr">
        <ns0:is>
          <ns0:t>2025-07-03</ns0:t>
        </ns0:is>
      </ns0:c>
      <ns0:c r="B172" s="41" t="n">
        <ns0:v>8.140000000000001</ns0:v>
      </ns0:c>
      <ns0:c r="C172" s="17">
        <ns0:f>--(B172&lt;'5b_股价与估值'!B2)</ns0:f>
        <ns0:v>0</ns0:v>
      </ns0:c>
    </ns0:row>
    <ns0:row r="173">
      <ns0:c r="A173" s="16" t="inlineStr">
        <ns0:is>
          <ns0:t>2025-07-07</ns0:t>
        </ns0:is>
      </ns0:c>
      <ns0:c r="B173" s="41" t="n">
        <ns0:v>7.99</ns0:v>
      </ns0:c>
      <ns0:c r="C173" s="17">
        <ns0:f>--(B173&lt;'5b_股价与估值'!B2)</ns0:f>
        <ns0:v>0</ns0:v>
      </ns0:c>
    </ns0:row>
    <ns0:row r="174">
      <ns0:c r="A174" s="16" t="inlineStr">
        <ns0:is>
          <ns0:t>2025-07-08</ns0:t>
        </ns0:is>
      </ns0:c>
      <ns0:c r="B174" s="41" t="n">
        <ns0:v>8.56</ns0:v>
      </ns0:c>
      <ns0:c r="C174" s="17">
        <ns0:f>--(B174&lt;'5b_股价与估值'!B2)</ns0:f>
        <ns0:v>0</ns0:v>
      </ns0:c>
    </ns0:row>
    <ns0:row r="175">
      <ns0:c r="A175" s="16" t="inlineStr">
        <ns0:is>
          <ns0:t>2025-07-09</ns0:t>
        </ns0:is>
      </ns0:c>
      <ns0:c r="B175" s="41" t="n">
        <ns0:v>8.57</ns0:v>
      </ns0:c>
      <ns0:c r="C175" s="17">
        <ns0:f>--(B175&lt;'5b_股价与估值'!B2)</ns0:f>
        <ns0:v>0</ns0:v>
      </ns0:c>
    </ns0:row>
    <ns0:row r="176">
      <ns0:c r="A176" s="16" t="inlineStr">
        <ns0:is>
          <ns0:t>2025-07-10</ns0:t>
        </ns0:is>
      </ns0:c>
      <ns0:c r="B176" s="41" t="n">
        <ns0:v>8.85</ns0:v>
      </ns0:c>
      <ns0:c r="C176" s="17">
        <ns0:f>--(B176&lt;'5b_股价与估值'!B2)</ns0:f>
        <ns0:v>0</ns0:v>
      </ns0:c>
    </ns0:row>
    <ns0:row r="177">
      <ns0:c r="A177" s="16" t="inlineStr">
        <ns0:is>
          <ns0:t>2025-07-11</ns0:t>
        </ns0:is>
      </ns0:c>
      <ns0:c r="B177" s="41" t="n">
        <ns0:v>8.539999999999999</ns0:v>
      </ns0:c>
      <ns0:c r="C177" s="17">
        <ns0:f>--(B177&lt;'5b_股价与估值'!B2)</ns0:f>
        <ns0:v>0</ns0:v>
      </ns0:c>
    </ns0:row>
    <ns0:row r="178">
      <ns0:c r="A178" s="16" t="inlineStr">
        <ns0:is>
          <ns0:t>2025-07-14</ns0:t>
        </ns0:is>
      </ns0:c>
      <ns0:c r="B178" s="41" t="n">
        <ns0:v>8.615</ns0:v>
      </ns0:c>
      <ns0:c r="C178" s="17">
        <ns0:f>--(B178&lt;'5b_股价与估值'!B2)</ns0:f>
        <ns0:v>0</ns0:v>
      </ns0:c>
    </ns0:row>
    <ns0:row r="179">
      <ns0:c r="A179" s="16" t="inlineStr">
        <ns0:is>
          <ns0:t>2025-07-15</ns0:t>
        </ns0:is>
      </ns0:c>
      <ns0:c r="B179" s="41" t="n">
        <ns0:v>8.59</ns0:v>
      </ns0:c>
      <ns0:c r="C179" s="17">
        <ns0:f>--(B179&lt;'5b_股价与估值'!B2)</ns0:f>
        <ns0:v>0</ns0:v>
      </ns0:c>
    </ns0:row>
    <ns0:row r="180">
      <ns0:c r="A180" s="16" t="inlineStr">
        <ns0:is>
          <ns0:t>2025-07-16</ns0:t>
        </ns0:is>
      </ns0:c>
      <ns0:c r="B180" s="41" t="n">
        <ns0:v>8.779999999999999</ns0:v>
      </ns0:c>
      <ns0:c r="C180" s="17">
        <ns0:f>--(B180&lt;'5b_股价与估值'!B2)</ns0:f>
        <ns0:v>0</ns0:v>
      </ns0:c>
    </ns0:row>
    <ns0:row r="181">
      <ns0:c r="A181" s="16" t="inlineStr">
        <ns0:is>
          <ns0:t>2025-07-17</ns0:t>
        </ns0:is>
      </ns0:c>
      <ns0:c r="B181" s="41" t="n">
        <ns0:v>9.26</ns0:v>
      </ns0:c>
      <ns0:c r="C181" s="17">
        <ns0:f>--(B181&lt;'5b_股价与估值'!B2)</ns0:f>
        <ns0:v>0</ns0:v>
      </ns0:c>
    </ns0:row>
    <ns0:row r="182">
      <ns0:c r="A182" s="16" t="inlineStr">
        <ns0:is>
          <ns0:t>2025-07-18</ns0:t>
        </ns0:is>
      </ns0:c>
      <ns0:c r="B182" s="41" t="n">
        <ns0:v>9.1</ns0:v>
      </ns0:c>
      <ns0:c r="C182" s="17">
        <ns0:f>--(B182&lt;'5b_股价与估值'!B2)</ns0:f>
        <ns0:v>0</ns0:v>
      </ns0:c>
    </ns0:row>
    <ns0:row r="183">
      <ns0:c r="A183" s="16" t="inlineStr">
        <ns0:is>
          <ns0:t>2025-07-21</ns0:t>
        </ns0:is>
      </ns0:c>
      <ns0:c r="B183" s="41" t="n">
        <ns0:v>9.23</ns0:v>
      </ns0:c>
      <ns0:c r="C183" s="17">
        <ns0:f>--(B183&lt;'5b_股价与估值'!B2)</ns0:f>
        <ns0:v>0</ns0:v>
      </ns0:c>
    </ns0:row>
    <ns0:row r="184">
      <ns0:c r="A184" s="16" t="inlineStr">
        <ns0:is>
          <ns0:t>2025-07-22</ns0:t>
        </ns0:is>
      </ns0:c>
      <ns0:c r="B184" s="41" t="n">
        <ns0:v>9.48</ns0:v>
      </ns0:c>
      <ns0:c r="C184" s="17">
        <ns0:f>--(B184&lt;'5b_股价与估值'!B2)</ns0:f>
        <ns0:v>0</ns0:v>
      </ns0:c>
    </ns0:row>
    <ns0:row r="185">
      <ns0:c r="A185" s="16" t="inlineStr">
        <ns0:is>
          <ns0:t>2025-07-23</ns0:t>
        </ns0:is>
      </ns0:c>
      <ns0:c r="B185" s="41" t="n">
        <ns0:v>9.99</ns0:v>
      </ns0:c>
      <ns0:c r="C185" s="17">
        <ns0:f>--(B185&lt;'5b_股价与估值'!B2)</ns0:f>
        <ns0:v>0</ns0:v>
      </ns0:c>
    </ns0:row>
    <ns0:row r="186">
      <ns0:c r="A186" s="16" t="inlineStr">
        <ns0:is>
          <ns0:t>2025-07-24</ns0:t>
        </ns0:is>
      </ns0:c>
      <ns0:c r="B186" s="41" t="n">
        <ns0:v>10.32</ns0:v>
      </ns0:c>
      <ns0:c r="C186" s="17">
        <ns0:f>--(B186&lt;'5b_股价与估值'!B2)</ns0:f>
        <ns0:v>0</ns0:v>
      </ns0:c>
    </ns0:row>
    <ns0:row r="187">
      <ns0:c r="A187" s="16" t="inlineStr">
        <ns0:is>
          <ns0:t>2025-07-25</ns0:t>
        </ns0:is>
      </ns0:c>
      <ns0:c r="B187" s="41" t="n">
        <ns0:v>10.34</ns0:v>
      </ns0:c>
      <ns0:c r="C187" s="17">
        <ns0:f>--(B187&lt;'5b_股价与估值'!B2)</ns0:f>
        <ns0:v>0</ns0:v>
      </ns0:c>
    </ns0:row>
    <ns0:row r="188">
      <ns0:c r="A188" s="16" t="inlineStr">
        <ns0:is>
          <ns0:t>2025-07-28</ns0:t>
        </ns0:is>
      </ns0:c>
      <ns0:c r="B188" s="41" t="n">
        <ns0:v>10.255</ns0:v>
      </ns0:c>
      <ns0:c r="C188" s="17">
        <ns0:f>--(B188&lt;'5b_股价与估值'!B2)</ns0:f>
        <ns0:v>0</ns0:v>
      </ns0:c>
    </ns0:row>
    <ns0:row r="189">
      <ns0:c r="A189" s="16" t="inlineStr">
        <ns0:is>
          <ns0:t>2025-07-29</ns0:t>
        </ns0:is>
      </ns0:c>
      <ns0:c r="B189" s="41" t="n">
        <ns0:v>9.949999999999999</ns0:v>
      </ns0:c>
      <ns0:c r="C189" s="17">
        <ns0:f>--(B189&lt;'5b_股价与估值'!B2)</ns0:f>
        <ns0:v>0</ns0:v>
      </ns0:c>
    </ns0:row>
    <ns0:row r="190">
      <ns0:c r="A190" s="16" t="inlineStr">
        <ns0:is>
          <ns0:t>2025-07-30</ns0:t>
        </ns0:is>
      </ns0:c>
      <ns0:c r="B190" s="41" t="n">
        <ns0:v>9.35</ns0:v>
      </ns0:c>
      <ns0:c r="C190" s="17">
        <ns0:f>--(B190&lt;'5b_股价与估值'!B2)</ns0:f>
        <ns0:v>0</ns0:v>
      </ns0:c>
    </ns0:row>
    <ns0:row r="191">
      <ns0:c r="A191" s="16" t="inlineStr">
        <ns0:is>
          <ns0:t>2025-07-31</ns0:t>
        </ns0:is>
      </ns0:c>
      <ns0:c r="B191" s="41" t="n">
        <ns0:v>9.18</ns0:v>
      </ns0:c>
      <ns0:c r="C191" s="17">
        <ns0:f>--(B191&lt;'5b_股价与估值'!B2)</ns0:f>
        <ns0:v>0</ns0:v>
      </ns0:c>
    </ns0:row>
    <ns0:row r="192">
      <ns0:c r="A192" s="16" t="inlineStr">
        <ns0:is>
          <ns0:t>2025-08-01</ns0:t>
        </ns0:is>
      </ns0:c>
      <ns0:c r="B192" s="41" t="n">
        <ns0:v>8.65</ns0:v>
      </ns0:c>
      <ns0:c r="C192" s="17">
        <ns0:f>--(B192&lt;'5b_股价与估值'!B2)</ns0:f>
        <ns0:v>0</ns0:v>
      </ns0:c>
    </ns0:row>
    <ns0:row r="193">
      <ns0:c r="A193" s="16" t="inlineStr">
        <ns0:is>
          <ns0:t>2025-08-04</ns0:t>
        </ns0:is>
      </ns0:c>
      <ns0:c r="B193" s="41" t="n">
        <ns0:v>8.699999999999999</ns0:v>
      </ns0:c>
      <ns0:c r="C193" s="17">
        <ns0:f>--(B193&lt;'5b_股价与估值'!B2)</ns0:f>
        <ns0:v>0</ns0:v>
      </ns0:c>
    </ns0:row>
    <ns0:row r="194">
      <ns0:c r="A194" s="16" t="inlineStr">
        <ns0:is>
          <ns0:t>2025-08-05</ns0:t>
        </ns0:is>
      </ns0:c>
      <ns0:c r="B194" s="41" t="n">
        <ns0:v>8.68</ns0:v>
      </ns0:c>
      <ns0:c r="C194" s="17">
        <ns0:f>--(B194&lt;'5b_股价与估值'!B2)</ns0:f>
        <ns0:v>0</ns0:v>
      </ns0:c>
    </ns0:row>
    <ns0:row r="195">
      <ns0:c r="A195" s="16" t="inlineStr">
        <ns0:is>
          <ns0:t>2025-08-06</ns0:t>
        </ns0:is>
      </ns0:c>
      <ns0:c r="B195" s="41" t="n">
        <ns0:v>8.67</ns0:v>
      </ns0:c>
      <ns0:c r="C195" s="17">
        <ns0:f>--(B195&lt;'5b_股价与估值'!B2)</ns0:f>
        <ns0:v>0</ns0:v>
      </ns0:c>
    </ns0:row>
    <ns0:row r="196">
      <ns0:c r="A196" s="16" t="inlineStr">
        <ns0:is>
          <ns0:t>2025-08-07</ns0:t>
        </ns0:is>
      </ns0:c>
      <ns0:c r="B196" s="41" t="n">
        <ns0:v>9.18</ns0:v>
      </ns0:c>
      <ns0:c r="C196" s="17">
        <ns0:f>--(B196&lt;'5b_股价与估值'!B2)</ns0:f>
        <ns0:v>0</ns0:v>
      </ns0:c>
    </ns0:row>
    <ns0:row r="197">
      <ns0:c r="A197" s="16" t="inlineStr">
        <ns0:is>
          <ns0:t>2025-08-08</ns0:t>
        </ns0:is>
      </ns0:c>
      <ns0:c r="B197" s="41" t="n">
        <ns0:v>9.19</ns0:v>
      </ns0:c>
      <ns0:c r="C197" s="17">
        <ns0:f>--(B197&lt;'5b_股价与估值'!B2)</ns0:f>
        <ns0:v>0</ns0:v>
      </ns0:c>
    </ns0:row>
    <ns0:row r="198">
      <ns0:c r="A198" s="16" t="inlineStr">
        <ns0:is>
          <ns0:t>2025-08-11</ns0:t>
        </ns0:is>
      </ns0:c>
      <ns0:c r="B198" s="41" t="n">
        <ns0:v>8.800000000000001</ns0:v>
      </ns0:c>
      <ns0:c r="C198" s="17">
        <ns0:f>--(B198&lt;'5b_股价与估值'!B2)</ns0:f>
        <ns0:v>0</ns0:v>
      </ns0:c>
    </ns0:row>
    <ns0:row r="199">
      <ns0:c r="A199" s="16" t="inlineStr">
        <ns0:is>
          <ns0:t>2025-08-12</ns0:t>
        </ns0:is>
      </ns0:c>
      <ns0:c r="B199" s="41" t="n">
        <ns0:v>9.31</ns0:v>
      </ns0:c>
      <ns0:c r="C199" s="17">
        <ns0:f>--(B199&lt;'5b_股价与估值'!B2)</ns0:f>
        <ns0:v>0</ns0:v>
      </ns0:c>
    </ns0:row>
    <ns0:row r="200">
      <ns0:c r="A200" s="16" t="inlineStr">
        <ns0:is>
          <ns0:t>2025-08-13</ns0:t>
        </ns0:is>
      </ns0:c>
      <ns0:c r="B200" s="41" t="n">
        <ns0:v>9.970000000000001</ns0:v>
      </ns0:c>
      <ns0:c r="C200" s="17">
        <ns0:f>--(B200&lt;'5b_股价与估值'!B2)</ns0:f>
        <ns0:v>0</ns0:v>
      </ns0:c>
    </ns0:row>
    <ns0:row r="201">
      <ns0:c r="A201" s="16" t="inlineStr">
        <ns0:is>
          <ns0:t>2025-08-14</ns0:t>
        </ns0:is>
      </ns0:c>
      <ns0:c r="B201" s="41" t="n">
        <ns0:v>9.65</ns0:v>
      </ns0:c>
      <ns0:c r="C201" s="17">
        <ns0:f>--(B201&lt;'5b_股价与估值'!B2)</ns0:f>
        <ns0:v>0</ns0:v>
      </ns0:c>
    </ns0:row>
    <ns0:row r="202">
      <ns0:c r="A202" s="16" t="inlineStr">
        <ns0:is>
          <ns0:t>2025-08-15</ns0:t>
        </ns0:is>
      </ns0:c>
      <ns0:c r="B202" s="41" t="n">
        <ns0:v>9.92</ns0:v>
      </ns0:c>
      <ns0:c r="C202" s="17">
        <ns0:f>--(B202&lt;'5b_股价与估值'!B2)</ns0:f>
        <ns0:v>0</ns0:v>
      </ns0:c>
    </ns0:row>
    <ns0:row r="203">
      <ns0:c r="A203" s="16" t="inlineStr">
        <ns0:is>
          <ns0:t>2025-08-18</ns0:t>
        </ns0:is>
      </ns0:c>
      <ns0:c r="B203" s="41" t="n">
        <ns0:v>9.890000000000001</ns0:v>
      </ns0:c>
      <ns0:c r="C203" s="17">
        <ns0:f>--(B203&lt;'5b_股价与估值'!B2)</ns0:f>
        <ns0:v>0</ns0:v>
      </ns0:c>
    </ns0:row>
    <ns0:row r="204">
      <ns0:c r="A204" s="16" t="inlineStr">
        <ns0:is>
          <ns0:t>2025-08-19</ns0:t>
        </ns0:is>
      </ns0:c>
      <ns0:c r="B204" s="41" t="n">
        <ns0:v>9.385</ns0:v>
      </ns0:c>
      <ns0:c r="C204" s="17">
        <ns0:f>--(B204&lt;'5b_股价与估值'!B2)</ns0:f>
        <ns0:v>0</ns0:v>
      </ns0:c>
    </ns0:row>
    <ns0:row r="205">
      <ns0:c r="A205" s="16" t="inlineStr">
        <ns0:is>
          <ns0:t>2025-08-20</ns0:t>
        </ns0:is>
      </ns0:c>
      <ns0:c r="B205" s="41" t="n">
        <ns0:v>9.01</ns0:v>
      </ns0:c>
      <ns0:c r="C205" s="17">
        <ns0:f>--(B205&lt;'5b_股价与估值'!B2)</ns0:f>
        <ns0:v>0</ns0:v>
      </ns0:c>
    </ns0:row>
    <ns0:row r="206">
      <ns0:c r="A206" s="16" t="inlineStr">
        <ns0:is>
          <ns0:t>2025-08-21</ns0:t>
        </ns0:is>
      </ns0:c>
      <ns0:c r="B206" s="41" t="n">
        <ns0:v>9.1</ns0:v>
      </ns0:c>
      <ns0:c r="C206" s="17">
        <ns0:f>--(B206&lt;'5b_股价与估值'!B2)</ns0:f>
        <ns0:v>0</ns0:v>
      </ns0:c>
    </ns0:row>
    <ns0:row r="207">
      <ns0:c r="A207" s="16" t="inlineStr">
        <ns0:is>
          <ns0:t>2025-08-22</ns0:t>
        </ns0:is>
      </ns0:c>
      <ns0:c r="B207" s="41" t="n">
        <ns0:v>9.52</ns0:v>
      </ns0:c>
      <ns0:c r="C207" s="17">
        <ns0:f>--(B207&lt;'5b_股价与估值'!B2)</ns0:f>
        <ns0:v>0</ns0:v>
      </ns0:c>
    </ns0:row>
    <ns0:row r="208">
      <ns0:c r="A208" s="16" t="inlineStr">
        <ns0:is>
          <ns0:t>2025-08-25</ns0:t>
        </ns0:is>
      </ns0:c>
      <ns0:c r="B208" s="41" t="n">
        <ns0:v>9.6</ns0:v>
      </ns0:c>
      <ns0:c r="C208" s="17">
        <ns0:f>--(B208&lt;'5b_股价与估值'!B2)</ns0:f>
        <ns0:v>0</ns0:v>
      </ns0:c>
    </ns0:row>
    <ns0:row r="209">
      <ns0:c r="A209" s="16" t="inlineStr">
        <ns0:is>
          <ns0:t>2025-08-26</ns0:t>
        </ns0:is>
      </ns0:c>
      <ns0:c r="B209" s="41" t="n">
        <ns0:v>9.76</ns0:v>
      </ns0:c>
      <ns0:c r="C209" s="17">
        <ns0:f>--(B209&lt;'5b_股价与估值'!B2)</ns0:f>
        <ns0:v>0</ns0:v>
      </ns0:c>
    </ns0:row>
    <ns0:row r="210">
      <ns0:c r="A210" s="16" t="inlineStr">
        <ns0:is>
          <ns0:t>2025-08-27</ns0:t>
        </ns0:is>
      </ns0:c>
      <ns0:c r="B210" s="41" t="n">
        <ns0:v>9.5</ns0:v>
      </ns0:c>
      <ns0:c r="C210" s="17">
        <ns0:f>--(B210&lt;'5b_股价与估值'!B2)</ns0:f>
        <ns0:v>0</ns0:v>
      </ns0:c>
    </ns0:row>
    <ns0:row r="211">
      <ns0:c r="A211" s="16" t="inlineStr">
        <ns0:is>
          <ns0:t>2025-08-28</ns0:t>
        </ns0:is>
      </ns0:c>
      <ns0:c r="B211" s="41" t="n">
        <ns0:v>9.57</ns0:v>
      </ns0:c>
      <ns0:c r="C211" s="17">
        <ns0:f>--(B211&lt;'5b_股价与估值'!B2)</ns0:f>
        <ns0:v>0</ns0:v>
      </ns0:c>
    </ns0:row>
    <ns0:row r="212">
      <ns0:c r="A212" s="16" t="inlineStr">
        <ns0:is>
          <ns0:t>2025-08-29</ns0:t>
        </ns0:is>
      </ns0:c>
      <ns0:c r="B212" s="41" t="n">
        <ns0:v>9.359999999999999</ns0:v>
      </ns0:c>
      <ns0:c r="C212" s="17">
        <ns0:f>--(B212&lt;'5b_股价与估值'!B2)</ns0:f>
        <ns0:v>0</ns0:v>
      </ns0:c>
    </ns0:row>
    <ns0:row r="213">
      <ns0:c r="A213" s="16" t="inlineStr">
        <ns0:is>
          <ns0:t>2025-09-02</ns0:t>
        </ns0:is>
      </ns0:c>
      <ns0:c r="B213" s="41" t="n">
        <ns0:v>9.16</ns0:v>
      </ns0:c>
      <ns0:c r="C213" s="17">
        <ns0:f>--(B213&lt;'5b_股价与估值'!B2)</ns0:f>
        <ns0:v>0</ns0:v>
      </ns0:c>
    </ns0:row>
    <ns0:row r="214">
      <ns0:c r="A214" s="16" t="inlineStr">
        <ns0:is>
          <ns0:t>2025-09-03</ns0:t>
        </ns0:is>
      </ns0:c>
      <ns0:c r="B214" s="41" t="n">
        <ns0:v>8.99</ns0:v>
      </ns0:c>
      <ns0:c r="C214" s="17">
        <ns0:f>--(B214&lt;'5b_股价与估值'!B2)</ns0:f>
        <ns0:v>0</ns0:v>
      </ns0:c>
    </ns0:row>
    <ns0:row r="215">
      <ns0:c r="A215" s="16" t="inlineStr">
        <ns0:is>
          <ns0:t>2025-09-04</ns0:t>
        </ns0:is>
      </ns0:c>
      <ns0:c r="B215" s="41" t="n">
        <ns0:v>8.869999999999999</ns0:v>
      </ns0:c>
      <ns0:c r="C215" s="17">
        <ns0:f>--(B215&lt;'5b_股价与估值'!B2)</ns0:f>
        <ns0:v>0</ns0:v>
      </ns0:c>
    </ns0:row>
    <ns0:row r="216">
      <ns0:c r="A216" s="16" t="inlineStr">
        <ns0:is>
          <ns0:t>2025-09-05</ns0:t>
        </ns0:is>
      </ns0:c>
      <ns0:c r="B216" s="41" t="n">
        <ns0:v>9.07</ns0:v>
      </ns0:c>
      <ns0:c r="C216" s="17">
        <ns0:f>--(B216&lt;'5b_股价与估值'!B2)</ns0:f>
        <ns0:v>0</ns0:v>
      </ns0:c>
    </ns0:row>
    <ns0:row r="217">
      <ns0:c r="A217" s="16" t="inlineStr">
        <ns0:is>
          <ns0:t>2025-09-08</ns0:t>
        </ns0:is>
      </ns0:c>
      <ns0:c r="B217" s="41" t="n">
        <ns0:v>9.18</ns0:v>
      </ns0:c>
      <ns0:c r="C217" s="17">
        <ns0:f>--(B217&lt;'5b_股价与估值'!B2)</ns0:f>
        <ns0:v>0</ns0:v>
      </ns0:c>
    </ns0:row>
    <ns0:row r="218">
      <ns0:c r="A218" s="16" t="inlineStr">
        <ns0:is>
          <ns0:t>2025-09-09</ns0:t>
        </ns0:is>
      </ns0:c>
      <ns0:c r="B218" s="41" t="n">
        <ns0:v>9.5</ns0:v>
      </ns0:c>
      <ns0:c r="C218" s="17">
        <ns0:f>--(B218&lt;'5b_股价与估值'!B2)</ns0:f>
        <ns0:v>0</ns0:v>
      </ns0:c>
    </ns0:row>
    <ns0:row r="219">
      <ns0:c r="A219" s="16" t="inlineStr">
        <ns0:is>
          <ns0:t>2025-09-10</ns0:t>
        </ns0:is>
      </ns0:c>
      <ns0:c r="B219" s="41" t="n">
        <ns0:v>9.34</ns0:v>
      </ns0:c>
      <ns0:c r="C219" s="17">
        <ns0:f>--(B219&lt;'5b_股价与估值'!B2)</ns0:f>
        <ns0:v>0</ns0:v>
      </ns0:c>
    </ns0:row>
    <ns0:row r="220">
      <ns0:c r="A220" s="16" t="inlineStr">
        <ns0:is>
          <ns0:t>2025-09-11</ns0:t>
        </ns0:is>
      </ns0:c>
      <ns0:c r="B220" s="41" t="n">
        <ns0:v>9.9</ns0:v>
      </ns0:c>
      <ns0:c r="C220" s="17">
        <ns0:f>--(B220&lt;'5b_股价与估值'!B2)</ns0:f>
        <ns0:v>0</ns0:v>
      </ns0:c>
    </ns0:row>
    <ns0:row r="221">
      <ns0:c r="A221" s="16" t="inlineStr">
        <ns0:is>
          <ns0:t>2025-09-12</ns0:t>
        </ns0:is>
      </ns0:c>
      <ns0:c r="B221" s="41" t="n">
        <ns0:v>9.84</ns0:v>
      </ns0:c>
      <ns0:c r="C221" s="17">
        <ns0:f>--(B221&lt;'5b_股价与估值'!B2)</ns0:f>
        <ns0:v>0</ns0:v>
      </ns0:c>
    </ns0:row>
    <ns0:row r="222">
      <ns0:c r="A222" s="16" t="inlineStr">
        <ns0:is>
          <ns0:t>2025-09-15</ns0:t>
        </ns0:is>
      </ns0:c>
      <ns0:c r="B222" s="41" t="n">
        <ns0:v>10.32</ns0:v>
      </ns0:c>
      <ns0:c r="C222" s="17">
        <ns0:f>--(B222&lt;'5b_股价与估值'!B2)</ns0:f>
        <ns0:v>0</ns0:v>
      </ns0:c>
    </ns0:row>
    <ns0:row r="223">
      <ns0:c r="A223" s="16" t="inlineStr">
        <ns0:is>
          <ns0:t>2025-09-16</ns0:t>
        </ns0:is>
      </ns0:c>
      <ns0:c r="B223" s="41" t="n">
        <ns0:v>10.29</ns0:v>
      </ns0:c>
      <ns0:c r="C223" s="17">
        <ns0:f>--(B223&lt;'5b_股价与估值'!B2)</ns0:f>
        <ns0:v>0</ns0:v>
      </ns0:c>
    </ns0:row>
    <ns0:row r="224">
      <ns0:c r="A224" s="16" t="inlineStr">
        <ns0:is>
          <ns0:t>2025-09-17</ns0:t>
        </ns0:is>
      </ns0:c>
      <ns0:c r="B224" s="41" t="n">
        <ns0:v>10.42</ns0:v>
      </ns0:c>
      <ns0:c r="C224" s="17">
        <ns0:f>--(B224&lt;'5b_股价与估值'!B2)</ns0:f>
        <ns0:v>0</ns0:v>
      </ns0:c>
    </ns0:row>
    <ns0:row r="225">
      <ns0:c r="A225" s="16" t="inlineStr">
        <ns0:is>
          <ns0:t>2025-09-18</ns0:t>
        </ns0:is>
      </ns0:c>
      <ns0:c r="B225" s="41" t="n">
        <ns0:v>10.46</ns0:v>
      </ns0:c>
      <ns0:c r="C225" s="17">
        <ns0:f>--(B225&lt;'5b_股价与估值'!B2)</ns0:f>
        <ns0:v>0</ns0:v>
      </ns0:c>
    </ns0:row>
    <ns0:row r="226">
      <ns0:c r="A226" s="16" t="inlineStr">
        <ns0:is>
          <ns0:t>2025-09-19</ns0:t>
        </ns0:is>
      </ns0:c>
      <ns0:c r="B226" s="41" t="n">
        <ns0:v>11.53</ns0:v>
      </ns0:c>
      <ns0:c r="C226" s="17">
        <ns0:f>--(B226&lt;'5b_股价与估值'!B2)</ns0:f>
        <ns0:v>0</ns0:v>
      </ns0:c>
    </ns0:row>
    <ns0:row r="227">
      <ns0:c r="A227" s="16" t="inlineStr">
        <ns0:is>
          <ns0:t>2025-09-22</ns0:t>
        </ns0:is>
      </ns0:c>
      <ns0:c r="B227" s="41" t="n">
        <ns0:v>11.56</ns0:v>
      </ns0:c>
      <ns0:c r="C227" s="17">
        <ns0:f>--(B227&lt;'5b_股价与估值'!B2)</ns0:f>
        <ns0:v>0</ns0:v>
      </ns0:c>
    </ns0:row>
    <ns0:row r="228">
      <ns0:c r="A228" s="16" t="inlineStr">
        <ns0:is>
          <ns0:t>2025-09-23</ns0:t>
        </ns0:is>
      </ns0:c>
      <ns0:c r="B228" s="41" t="n">
        <ns0:v>11.24</ns0:v>
      </ns0:c>
      <ns0:c r="C228" s="17">
        <ns0:f>--(B228&lt;'5b_股价与估值'!B2)</ns0:f>
        <ns0:v>0</ns0:v>
      </ns0:c>
    </ns0:row>
    <ns0:row r="229">
      <ns0:c r="A229" s="16" t="inlineStr">
        <ns0:is>
          <ns0:t>2025-09-24</ns0:t>
        </ns0:is>
      </ns0:c>
      <ns0:c r="B229" s="41" t="n">
        <ns0:v>11.39</ns0:v>
      </ns0:c>
      <ns0:c r="C229" s="17">
        <ns0:f>--(B229&lt;'5b_股价与估值'!B2)</ns0:f>
        <ns0:v>0</ns0:v>
      </ns0:c>
    </ns0:row>
    <ns0:row r="230">
      <ns0:c r="A230" s="16" t="inlineStr">
        <ns0:is>
          <ns0:t>2025-09-25</ns0:t>
        </ns0:is>
      </ns0:c>
      <ns0:c r="B230" s="41" t="n">
        <ns0:v>10.91</ns0:v>
      </ns0:c>
      <ns0:c r="C230" s="17">
        <ns0:f>--(B230&lt;'5b_股价与估值'!B2)</ns0:f>
        <ns0:v>0</ns0:v>
      </ns0:c>
    </ns0:row>
    <ns0:row r="231">
      <ns0:c r="A231" s="16" t="inlineStr">
        <ns0:is>
          <ns0:t>2025-09-26</ns0:t>
        </ns0:is>
      </ns0:c>
      <ns0:c r="B231" s="41" t="n">
        <ns0:v>10.19</ns0:v>
      </ns0:c>
      <ns0:c r="C231" s="17">
        <ns0:f>--(B231&lt;'5b_股价与估值'!B2)</ns0:f>
        <ns0:v>0</ns0:v>
      </ns0:c>
    </ns0:row>
    <ns0:row r="232">
      <ns0:c r="A232" s="16" t="inlineStr">
        <ns0:is>
          <ns0:t>2025-09-29</ns0:t>
        </ns0:is>
      </ns0:c>
      <ns0:c r="B232" s="41" t="n">
        <ns0:v>10.42</ns0:v>
      </ns0:c>
      <ns0:c r="C232" s="17">
        <ns0:f>--(B232&lt;'5b_股价与估值'!B2)</ns0:f>
        <ns0:v>0</ns0:v>
      </ns0:c>
    </ns0:row>
    <ns0:row r="233">
      <ns0:c r="A233" s="16" t="inlineStr">
        <ns0:is>
          <ns0:t>2025-09-30</ns0:t>
        </ns0:is>
      </ns0:c>
      <ns0:c r="B233" s="41" t="n">
        <ns0:v>9.9</ns0:v>
      </ns0:c>
      <ns0:c r="C233" s="17">
        <ns0:f>--(B233&lt;'5b_股价与估值'!B2)</ns0:f>
        <ns0:v>0</ns0:v>
      </ns0:c>
    </ns0:row>
    <ns0:row r="234">
      <ns0:c r="A234" s="16" t="inlineStr">
        <ns0:is>
          <ns0:t>2025-10-01</ns0:t>
        </ns0:is>
      </ns0:c>
      <ns0:c r="B234" s="41" t="n">
        <ns0:v>10.32</ns0:v>
      </ns0:c>
      <ns0:c r="C234" s="17">
        <ns0:f>--(B234&lt;'5b_股价与估值'!B2)</ns0:f>
        <ns0:v>0</ns0:v>
      </ns0:c>
    </ns0:row>
    <ns0:row r="235">
      <ns0:c r="A235" s="16" t="inlineStr">
        <ns0:is>
          <ns0:t>2025-10-02</ns0:t>
        </ns0:is>
      </ns0:c>
      <ns0:c r="B235" s="41" t="n">
        <ns0:v>11.27</ns0:v>
      </ns0:c>
      <ns0:c r="C235" s="17">
        <ns0:f>--(B235&lt;'5b_股价与估值'!B2)</ns0:f>
        <ns0:v>0</ns0:v>
      </ns0:c>
    </ns0:row>
    <ns0:row r="236">
      <ns0:c r="A236" s="16" t="inlineStr">
        <ns0:is>
          <ns0:t>2025-10-03</ns0:t>
        </ns0:is>
      </ns0:c>
      <ns0:c r="B236" s="41" t="n">
        <ns0:v>10.97</ns0:v>
      </ns0:c>
      <ns0:c r="C236" s="17">
        <ns0:f>--(B236&lt;'5b_股价与估值'!B2)</ns0:f>
        <ns0:v>0</ns0:v>
      </ns0:c>
    </ns0:row>
    <ns0:row r="237">
      <ns0:c r="A237" s="16" t="inlineStr">
        <ns0:is>
          <ns0:t>2025-10-06</ns0:t>
        </ns0:is>
      </ns0:c>
      <ns0:c r="B237" s="41" t="n">
        <ns0:v>11.3</ns0:v>
      </ns0:c>
      <ns0:c r="C237" s="17">
        <ns0:f>--(B237&lt;'5b_股价与估值'!B2)</ns0:f>
        <ns0:v>0</ns0:v>
      </ns0:c>
    </ns0:row>
    <ns0:row r="238">
      <ns0:c r="A238" s="16" t="inlineStr">
        <ns0:is>
          <ns0:t>2025-10-07</ns0:t>
        </ns0:is>
      </ns0:c>
      <ns0:c r="B238" s="41" t="n">
        <ns0:v>11.05</ns0:v>
      </ns0:c>
      <ns0:c r="C238" s="17">
        <ns0:f>--(B238&lt;'5b_股价与估值'!B2)</ns0:f>
        <ns0:v>0</ns0:v>
      </ns0:c>
    </ns0:row>
    <ns0:row r="239">
      <ns0:c r="A239" s="16" t="inlineStr">
        <ns0:is>
          <ns0:t>2025-10-08</ns0:t>
        </ns0:is>
      </ns0:c>
      <ns0:c r="B239" s="41" t="n">
        <ns0:v>12.38</ns0:v>
      </ns0:c>
      <ns0:c r="C239" s="17">
        <ns0:f>--(B239&lt;'5b_股价与估值'!B2)</ns0:f>
        <ns0:v>0</ns0:v>
      </ns0:c>
    </ns0:row>
    <ns0:row r="240">
      <ns0:c r="A240" s="16" t="inlineStr">
        <ns0:is>
          <ns0:t>2025-10-09</ns0:t>
        </ns0:is>
      </ns0:c>
      <ns0:c r="B240" s="41" t="n">
        <ns0:v>11.97</ns0:v>
      </ns0:c>
      <ns0:c r="C240" s="17">
        <ns0:f>--(B240&lt;'5b_股价与估值'!B2)</ns0:f>
        <ns0:v>0</ns0:v>
      </ns0:c>
    </ns0:row>
    <ns0:row r="241">
      <ns0:c r="A241" s="16" t="inlineStr">
        <ns0:is>
          <ns0:t>2025-10-10</ns0:t>
        </ns0:is>
      </ns0:c>
      <ns0:c r="B241" s="41" t="n">
        <ns0:v>10.17</ns0:v>
      </ns0:c>
      <ns0:c r="C241" s="17">
        <ns0:f>--(B241&lt;'5b_股价与估值'!B2)</ns0:f>
        <ns0:v>0</ns0:v>
      </ns0:c>
    </ns0:row>
    <ns0:row r="242">
      <ns0:c r="A242" s="16" t="inlineStr">
        <ns0:is>
          <ns0:t>2025-10-13</ns0:t>
        </ns0:is>
      </ns0:c>
      <ns0:c r="B242" s="41" t="n">
        <ns0:v>10.76</ns0:v>
      </ns0:c>
      <ns0:c r="C242" s="17">
        <ns0:f>--(B242&lt;'5b_股价与估值'!B2)</ns0:f>
        <ns0:v>0</ns0:v>
      </ns0:c>
    </ns0:row>
    <ns0:row r="243">
      <ns0:c r="A243" s="16" t="inlineStr">
        <ns0:is>
          <ns0:t>2025-10-14</ns0:t>
        </ns0:is>
      </ns0:c>
      <ns0:c r="B243" s="41" t="n">
        <ns0:v>10.62</ns0:v>
      </ns0:c>
      <ns0:c r="C243" s="17">
        <ns0:f>--(B243&lt;'5b_股价与估值'!B2)</ns0:f>
        <ns0:v>0</ns0:v>
      </ns0:c>
    </ns0:row>
    <ns0:row r="244">
      <ns0:c r="A244" s="16" t="inlineStr">
        <ns0:is>
          <ns0:t>2025-10-15</ns0:t>
        </ns0:is>
      </ns0:c>
      <ns0:c r="B244" s="41" t="n">
        <ns0:v>11.07</ns0:v>
      </ns0:c>
      <ns0:c r="C244" s="17">
        <ns0:f>--(B244&lt;'5b_股价与估值'!B2)</ns0:f>
        <ns0:v>0</ns0:v>
      </ns0:c>
    </ns0:row>
    <ns0:row r="245">
      <ns0:c r="A245" s="16" t="inlineStr">
        <ns0:is>
          <ns0:t>2025-10-16</ns0:t>
        </ns0:is>
      </ns0:c>
      <ns0:c r="B245" s="41" t="n">
        <ns0:v>10.53</ns0:v>
      </ns0:c>
      <ns0:c r="C245" s="17">
        <ns0:f>--(B245&lt;'5b_股价与估值'!B2)</ns0:f>
        <ns0:v>0</ns0:v>
      </ns0:c>
    </ns0:row>
    <ns0:row r="246">
      <ns0:c r="A246" s="16" t="inlineStr">
        <ns0:is>
          <ns0:t>2025-10-17</ns0:t>
        </ns0:is>
      </ns0:c>
      <ns0:c r="B246" s="41" t="n">
        <ns0:v>10.1</ns0:v>
      </ns0:c>
      <ns0:c r="C246" s="17">
        <ns0:f>--(B246&lt;'5b_股价与估值'!B2)</ns0:f>
        <ns0:v>0</ns0:v>
      </ns0:c>
    </ns0:row>
    <ns0:row r="247">
      <ns0:c r="A247" s="16" t="inlineStr">
        <ns0:is>
          <ns0:t>2025-10-20</ns0:t>
        </ns0:is>
      </ns0:c>
      <ns0:c r="B247" s="41" t="n">
        <ns0:v>10.37</ns0:v>
      </ns0:c>
      <ns0:c r="C247" s="17">
        <ns0:f>--(B247&lt;'5b_股价与估值'!B2)</ns0:f>
        <ns0:v>0</ns0:v>
      </ns0:c>
    </ns0:row>
    <ns0:row r="248">
      <ns0:c r="A248" s="16" t="inlineStr">
        <ns0:is>
          <ns0:t>2025-10-21</ns0:t>
        </ns0:is>
      </ns0:c>
      <ns0:c r="B248" s="41" t="n">
        <ns0:v>10.18</ns0:v>
      </ns0:c>
      <ns0:c r="C248" s="17">
        <ns0:f>--(B248&lt;'5b_股价与估值'!B2)</ns0:f>
        <ns0:v>0</ns0:v>
      </ns0:c>
    </ns0:row>
    <ns0:row r="249">
      <ns0:c r="A249" s="16" t="inlineStr">
        <ns0:is>
          <ns0:t>2025-10-22</ns0:t>
        </ns0:is>
      </ns0:c>
      <ns0:c r="B249" s="41" t="n">
        <ns0:v>9.83</ns0:v>
      </ns0:c>
      <ns0:c r="C249" s="17">
        <ns0:f>--(B249&lt;'5b_股价与估值'!B2)</ns0:f>
        <ns0:v>0</ns0:v>
      </ns0:c>
    </ns0:row>
    <ns0:row r="250">
      <ns0:c r="A250" s="16" t="inlineStr">
        <ns0:is>
          <ns0:t>2025-10-23</ns0:t>
        </ns0:is>
      </ns0:c>
      <ns0:c r="B250" s="41" t="n">
        <ns0:v>10.12</ns0:v>
      </ns0:c>
      <ns0:c r="C250" s="17">
        <ns0:f>--(B250&lt;'5b_股价与估值'!B2)</ns0:f>
        <ns0:v>0</ns0:v>
      </ns0:c>
    </ns0:row>
    <ns0:row r="251">
      <ns0:c r="A251" s="16" t="inlineStr">
        <ns0:is>
          <ns0:t>2025-10-24</ns0:t>
        </ns0:is>
      </ns0:c>
      <ns0:c r="B251" s="41" t="n">
        <ns0:v>10.64</ns0:v>
      </ns0:c>
      <ns0:c r="C251" s="17">
        <ns0:f>--(B251&lt;'5b_股价与估值'!B2)</ns0:f>
        <ns0:v>0</ns0:v>
      </ns0:c>
    </ns0:row>
    <ns0:row r="252">
      <ns0:c r="A252" s="16" t="inlineStr">
        <ns0:is>
          <ns0:t>2025-10-27</ns0:t>
        </ns0:is>
      </ns0:c>
      <ns0:c r="B252" s="41" t="n">
        <ns0:v>11.16</ns0:v>
      </ns0:c>
      <ns0:c r="C252" s="17">
        <ns0:f>--(B252&lt;'5b_股价与估值'!B2)</ns0:f>
        <ns0:v>0</ns0:v>
      </ns0:c>
    </ns0:row>
    <ns0:row r="253">
      <ns0:c r="A253" s="16" t="inlineStr">
        <ns0:is>
          <ns0:t>2025-10-28</ns0:t>
        </ns0:is>
      </ns0:c>
      <ns0:c r="B253" s="41" t="n">
        <ns0:v>11.72</ns0:v>
      </ns0:c>
      <ns0:c r="C253" s="17">
        <ns0:f>--(B253&lt;'5b_股价与估值'!B2)</ns0:f>
        <ns0:v>0</ns0:v>
      </ns0:c>
    </ns0:row>
    <ns0:row r="254">
      <ns0:c r="A254" s="16" t="inlineStr">
        <ns0:is>
          <ns0:t>2025-10-29</ns0:t>
        </ns0:is>
      </ns0:c>
      <ns0:c r="B254" s="41" t="n">
        <ns0:v>11.1</ns0:v>
      </ns0:c>
      <ns0:c r="C254" s="17">
        <ns0:f>--(B254&lt;'5b_股价与估值'!B2)</ns0:f>
        <ns0:v>0</ns0:v>
      </ns0:c>
    </ns0:row>
    <ns0:row r="255">
      <ns0:c r="A255" s="16" t="inlineStr">
        <ns0:is>
          <ns0:t>2025-10-30</ns0:t>
        </ns0:is>
      </ns0:c>
      <ns0:c r="B255" s="41" t="n">
        <ns0:v>10.6</ns0:v>
      </ns0:c>
      <ns0:c r="C255" s="17">
        <ns0:f>--(B255&lt;'5b_股价与估值'!B2)</ns0:f>
        <ns0:v>0</ns0:v>
      </ns0:c>
    </ns0:row>
    <ns0:row r="256">
      <ns0:c r="A256" s="16" t="inlineStr">
        <ns0:is>
          <ns0:t>2025-10-31</ns0:t>
        </ns0:is>
      </ns0:c>
      <ns0:c r="B256" s="41" t="n">
        <ns0:v>10.67</ns0:v>
      </ns0:c>
      <ns0:c r="C256" s="17">
        <ns0:f>--(B256&lt;'5b_股价与估值'!B2)</ns0:f>
        <ns0:v>0</ns0:v>
      </ns0:c>
    </ns0:row>
    <ns0:row r="257">
      <ns0:c r="A257" s="16" t="inlineStr">
        <ns0:is>
          <ns0:t>2025-11-03</ns0:t>
        </ns0:is>
      </ns0:c>
      <ns0:c r="B257" s="41" t="n">
        <ns0:v>10.9</ns0:v>
      </ns0:c>
      <ns0:c r="C257" s="17">
        <ns0:f>--(B257&lt;'5b_股价与估值'!B2)</ns0:f>
        <ns0:v>0</ns0:v>
      </ns0:c>
    </ns0:row>
    <ns0:row r="258">
      <ns0:c r="A258" s="16" t="inlineStr">
        <ns0:is>
          <ns0:t>2025-11-04</ns0:t>
        </ns0:is>
      </ns0:c>
      <ns0:c r="B258" s="41" t="n">
        <ns0:v>9.404999999999999</ns0:v>
      </ns0:c>
      <ns0:c r="C258" s="17">
        <ns0:f>--(B258&lt;'5b_股价与估值'!B2)</ns0:f>
        <ns0:v>0</ns0:v>
      </ns0:c>
    </ns0:row>
    <ns0:row r="259">
      <ns0:c r="A259" s="16" t="inlineStr">
        <ns0:is>
          <ns0:t>2025-11-05</ns0:t>
        </ns0:is>
      </ns0:c>
      <ns0:c r="B259" s="41" t="n">
        <ns0:v>8.91</ns0:v>
      </ns0:c>
      <ns0:c r="C259" s="17">
        <ns0:f>--(B259&lt;'5b_股价与估值'!B2)</ns0:f>
        <ns0:v>0</ns0:v>
      </ns0:c>
    </ns0:row>
    <ns0:row r="260">
      <ns0:c r="A260" s="16" t="inlineStr">
        <ns0:is>
          <ns0:t>2025-11-06</ns0:t>
        </ns0:is>
      </ns0:c>
      <ns0:c r="B260" s="41" t="n">
        <ns0:v>8.56</ns0:v>
      </ns0:c>
      <ns0:c r="C260" s="17">
        <ns0:f>--(B260&lt;'5b_股价与估值'!B2)</ns0:f>
        <ns0:v>0</ns0:v>
      </ns0:c>
    </ns0:row>
    <ns0:row r="261">
      <ns0:c r="A261" s="16" t="inlineStr">
        <ns0:is>
          <ns0:t>2025-11-07</ns0:t>
        </ns0:is>
      </ns0:c>
      <ns0:c r="B261" s="41" t="n">
        <ns0:v>7.99</ns0:v>
      </ns0:c>
      <ns0:c r="C261" s="17">
        <ns0:f>--(B261&lt;'5b_股价与估值'!B2)</ns0:f>
        <ns0:v>0</ns0:v>
      </ns0:c>
    </ns0:row>
    <ns0:row r="262">
      <ns0:c r="A262" s="16" t="inlineStr">
        <ns0:is>
          <ns0:t>2025-11-10</ns0:t>
        </ns0:is>
      </ns0:c>
      <ns0:c r="B262" s="41" t="n">
        <ns0:v>8.17</ns0:v>
      </ns0:c>
      <ns0:c r="C262" s="17">
        <ns0:f>--(B262&lt;'5b_股价与估值'!B2)</ns0:f>
        <ns0:v>0</ns0:v>
      </ns0:c>
    </ns0:row>
    <ns0:row r="263">
      <ns0:c r="A263" s="16" t="inlineStr">
        <ns0:is>
          <ns0:t>2025-11-11</ns0:t>
        </ns0:is>
      </ns0:c>
      <ns0:c r="B263" s="41" t="n">
        <ns0:v>8.109999999999999</ns0:v>
      </ns0:c>
      <ns0:c r="C263" s="17">
        <ns0:f>--(B263&lt;'5b_股价与估值'!B2)</ns0:f>
        <ns0:v>0</ns0:v>
      </ns0:c>
    </ns0:row>
    <ns0:row r="264">
      <ns0:c r="A264" s="16" t="inlineStr">
        <ns0:is>
          <ns0:t>2025-11-12</ns0:t>
        </ns0:is>
      </ns0:c>
      <ns0:c r="B264" s="41" t="n">
        <ns0:v>7.93</ns0:v>
      </ns0:c>
      <ns0:c r="C264" s="17">
        <ns0:f>--(B264&lt;'5b_股价与估值'!B2)</ns0:f>
        <ns0:v>0</ns0:v>
      </ns0:c>
    </ns0:row>
    <ns0:row r="265">
      <ns0:c r="A265" s="16" t="inlineStr">
        <ns0:is>
          <ns0:t>2025-11-13</ns0:t>
        </ns0:is>
      </ns0:c>
      <ns0:c r="B265" s="41" t="n">
        <ns0:v>7.27</ns0:v>
      </ns0:c>
      <ns0:c r="C265" s="17">
        <ns0:f>--(B265&lt;'5b_股价与估值'!B2)</ns0:f>
        <ns0:v>0</ns0:v>
      </ns0:c>
    </ns0:row>
    <ns0:row r="266">
      <ns0:c r="A266" s="16" t="inlineStr">
        <ns0:is>
          <ns0:t>2025-11-14</ns0:t>
        </ns0:is>
      </ns0:c>
      <ns0:c r="B266" s="41" t="n">
        <ns0:v>7.03</ns0:v>
      </ns0:c>
      <ns0:c r="C266" s="17">
        <ns0:f>--(B266&lt;'5b_股价与估值'!B2)</ns0:f>
        <ns0:v>0</ns0:v>
      </ns0:c>
    </ns0:row>
    <ns0:row r="267">
      <ns0:c r="A267" s="16" t="inlineStr">
        <ns0:is>
          <ns0:t>2025-11-17</ns0:t>
        </ns0:is>
      </ns0:c>
      <ns0:c r="B267" s="41" t="n">
        <ns0:v>7.12</ns0:v>
      </ns0:c>
      <ns0:c r="C267" s="17">
        <ns0:f>--(B267&lt;'5b_股价与估值'!B2)</ns0:f>
        <ns0:v>0</ns0:v>
      </ns0:c>
    </ns0:row>
    <ns0:row r="268">
      <ns0:c r="A268" s="16" t="inlineStr">
        <ns0:is>
          <ns0:t>2025-11-18</ns0:t>
        </ns0:is>
      </ns0:c>
      <ns0:c r="B268" s="41" t="n">
        <ns0:v>7.12</ns0:v>
      </ns0:c>
      <ns0:c r="C268" s="17">
        <ns0:f>--(B268&lt;'5b_股价与估值'!B2)</ns0:f>
        <ns0:v>0</ns0:v>
      </ns0:c>
    </ns0:row>
    <ns0:row r="269">
      <ns0:c r="A269" s="16" t="inlineStr">
        <ns0:is>
          <ns0:t>2025-11-19</ns0:t>
        </ns0:is>
      </ns0:c>
      <ns0:c r="B269" s="41" t="n">
        <ns0:v>7.15</ns0:v>
      </ns0:c>
      <ns0:c r="C269" s="17">
        <ns0:f>--(B269&lt;'5b_股价与估值'!B2)</ns0:f>
        <ns0:v>0</ns0:v>
      </ns0:c>
    </ns0:row>
    <ns0:row r="270">
      <ns0:c r="A270" s="16" t="inlineStr">
        <ns0:is>
          <ns0:t>2025-11-20</ns0:t>
        </ns0:is>
      </ns0:c>
      <ns0:c r="B270" s="41" t="n">
        <ns0:v>7.07</ns0:v>
      </ns0:c>
      <ns0:c r="C270" s="17">
        <ns0:f>--(B270&lt;'5b_股价与估值'!B2)</ns0:f>
        <ns0:v>0</ns0:v>
      </ns0:c>
    </ns0:row>
    <ns0:row r="271">
      <ns0:c r="A271" s="16" t="inlineStr">
        <ns0:is>
          <ns0:t>2025-11-21</ns0:t>
        </ns0:is>
      </ns0:c>
      <ns0:c r="B271" s="41" t="n">
        <ns0:v>7.2</ns0:v>
      </ns0:c>
      <ns0:c r="C271" s="17">
        <ns0:f>--(B271&lt;'5b_股价与估值'!B2)</ns0:f>
        <ns0:v>0</ns0:v>
      </ns0:c>
    </ns0:row>
    <ns0:row r="272">
      <ns0:c r="A272" s="16" t="inlineStr">
        <ns0:is>
          <ns0:t>2025-11-24</ns0:t>
        </ns0:is>
      </ns0:c>
      <ns0:c r="B272" s="41" t="n">
        <ns0:v>8.26</ns0:v>
      </ns0:c>
      <ns0:c r="C272" s="17">
        <ns0:f>--(B272&lt;'5b_股价与估值'!B2)</ns0:f>
        <ns0:v>0</ns0:v>
      </ns0:c>
    </ns0:row>
    <ns0:row r="273">
      <ns0:c r="A273" s="16" t="inlineStr">
        <ns0:is>
          <ns0:t>2025-11-25</ns0:t>
        </ns0:is>
      </ns0:c>
      <ns0:c r="B273" s="41" t="n">
        <ns0:v>7.92</ns0:v>
      </ns0:c>
      <ns0:c r="C273" s="17">
        <ns0:f>--(B273&lt;'5b_股价与估值'!B2)</ns0:f>
        <ns0:v>0</ns0:v>
      </ns0:c>
    </ns0:row>
    <ns0:row r="274">
      <ns0:c r="A274" s="16" t="inlineStr">
        <ns0:is>
          <ns0:t>2025-11-26</ns0:t>
        </ns0:is>
      </ns0:c>
      <ns0:c r="B274" s="41" t="n">
        <ns0:v>8.039999999999999</ns0:v>
      </ns0:c>
      <ns0:c r="C274" s="17">
        <ns0:f>--(B274&lt;'5b_股价与估值'!B2)</ns0:f>
        <ns0:v>0</ns0:v>
      </ns0:c>
    </ns0:row>
    <ns0:row r="275">
      <ns0:c r="A275" s="16" t="inlineStr">
        <ns0:is>
          <ns0:t>2025-11-28</ns0:t>
        </ns0:is>
      </ns0:c>
      <ns0:c r="B275" s="41" t="n">
        <ns0:v>8.24</ns0:v>
      </ns0:c>
      <ns0:c r="C275" s="17">
        <ns0:f>--(B275&lt;'5b_股价与估值'!B2)</ns0:f>
        <ns0:v>0</ns0:v>
      </ns0:c>
    </ns0:row>
    <ns0:row r="276">
      <ns0:c r="A276" s="16" t="inlineStr">
        <ns0:is>
          <ns0:t>2025-12-01</ns0:t>
        </ns0:is>
      </ns0:c>
      <ns0:c r="B276" s="41" t="n">
        <ns0:v>8.5</ns0:v>
      </ns0:c>
      <ns0:c r="C276" s="17">
        <ns0:f>--(B276&lt;'5b_股价与估值'!B2)</ns0:f>
        <ns0:v>0</ns0:v>
      </ns0:c>
    </ns0:row>
    <ns0:row r="277">
      <ns0:c r="A277" s="16" t="inlineStr">
        <ns0:is>
          <ns0:t>2025-12-02</ns0:t>
        </ns0:is>
      </ns0:c>
      <ns0:c r="B277" s="41" t="n">
        <ns0:v>8.67</ns0:v>
      </ns0:c>
      <ns0:c r="C277" s="17">
        <ns0:f>--(B277&lt;'5b_股价与估值'!B2)</ns0:f>
        <ns0:v>0</ns0:v>
      </ns0:c>
    </ns0:row>
    <ns0:row r="278">
      <ns0:c r="A278" s="16" t="inlineStr">
        <ns0:is>
          <ns0:t>2025-12-03</ns0:t>
        </ns0:is>
      </ns0:c>
      <ns0:c r="B278" s="41" t="n">
        <ns0:v>9.119999999999999</ns0:v>
      </ns0:c>
      <ns0:c r="C278" s="17">
        <ns0:f>--(B278&lt;'5b_股价与估值'!B2)</ns0:f>
        <ns0:v>0</ns0:v>
      </ns0:c>
    </ns0:row>
    <ns0:row r="279">
      <ns0:c r="A279" s="16" t="inlineStr">
        <ns0:is>
          <ns0:t>2025-12-04</ns0:t>
        </ns0:is>
      </ns0:c>
      <ns0:c r="B279" s="41" t="n">
        <ns0:v>9.359999999999999</ns0:v>
      </ns0:c>
      <ns0:c r="C279" s="17">
        <ns0:f>--(B279&lt;'5b_股价与估值'!B2)</ns0:f>
        <ns0:v>0</ns0:v>
      </ns0:c>
    </ns0:row>
    <ns0:row r="280">
      <ns0:c r="A280" s="16" t="inlineStr">
        <ns0:is>
          <ns0:t>2025-12-05</ns0:t>
        </ns0:is>
      </ns0:c>
      <ns0:c r="B280" s="41" t="n">
        <ns0:v>9.51</ns0:v>
      </ns0:c>
      <ns0:c r="C280" s="17">
        <ns0:f>--(B280&lt;'5b_股价与估值'!B2)</ns0:f>
        <ns0:v>0</ns0:v>
      </ns0:c>
    </ns0:row>
    <ns0:row r="281">
      <ns0:c r="A281" s="16" t="inlineStr">
        <ns0:is>
          <ns0:t>2025-12-08</ns0:t>
        </ns0:is>
      </ns0:c>
      <ns0:c r="B281" s="41" t="n">
        <ns0:v>9.24</ns0:v>
      </ns0:c>
      <ns0:c r="C281" s="17">
        <ns0:f>--(B281&lt;'5b_股价与估值'!B2)</ns0:f>
        <ns0:v>0</ns0:v>
      </ns0:c>
    </ns0:row>
    <ns0:row r="282">
      <ns0:c r="A282" s="16" t="inlineStr">
        <ns0:is>
          <ns0:t>2025-12-09</ns0:t>
        </ns0:is>
      </ns0:c>
      <ns0:c r="B282" s="41" t="n">
        <ns0:v>8.91</ns0:v>
      </ns0:c>
      <ns0:c r="C282" s="17">
        <ns0:f>--(B282&lt;'5b_股价与估值'!B2)</ns0:f>
        <ns0:v>0</ns0:v>
      </ns0:c>
    </ns0:row>
    <ns0:row r="283">
      <ns0:c r="A283" s="16" t="inlineStr">
        <ns0:is>
          <ns0:t>2025-12-10</ns0:t>
        </ns0:is>
      </ns0:c>
      <ns0:c r="B283" s="41" t="n">
        <ns0:v>8.970000000000001</ns0:v>
      </ns0:c>
      <ns0:c r="C283" s="17">
        <ns0:f>--(B283&lt;'5b_股价与估值'!B2)</ns0:f>
        <ns0:v>0</ns0:v>
      </ns0:c>
    </ns0:row>
    <ns0:row r="284">
      <ns0:c r="A284" s="16" t="inlineStr">
        <ns0:is>
          <ns0:t>2025-12-11</ns0:t>
        </ns0:is>
      </ns0:c>
      <ns0:c r="B284" s="41" t="n">
        <ns0:v>8.92</ns0:v>
      </ns0:c>
      <ns0:c r="C284" s="17">
        <ns0:f>--(B284&lt;'5b_股价与估值'!B2)</ns0:f>
        <ns0:v>0</ns0:v>
      </ns0:c>
    </ns0:row>
    <ns0:row r="285">
      <ns0:c r="A285" s="16" t="inlineStr">
        <ns0:is>
          <ns0:t>2025-12-12</ns0:t>
        </ns0:is>
      </ns0:c>
      <ns0:c r="B285" s="41" t="n">
        <ns0:v>8.630000000000001</ns0:v>
      </ns0:c>
      <ns0:c r="C285" s="17">
        <ns0:f>--(B285&lt;'5b_股价与估值'!B2)</ns0:f>
        <ns0:v>0</ns0:v>
      </ns0:c>
    </ns0:row>
    <ns0:row r="286">
      <ns0:c r="A286" s="16" t="inlineStr">
        <ns0:is>
          <ns0:t>2025-12-15</ns0:t>
        </ns0:is>
      </ns0:c>
      <ns0:c r="B286" s="41" t="n">
        <ns0:v>8.44</ns0:v>
      </ns0:c>
      <ns0:c r="C286" s="17">
        <ns0:f>--(B286&lt;'5b_股价与估值'!B2)</ns0:f>
        <ns0:v>0</ns0:v>
      </ns0:c>
    </ns0:row>
    <ns0:row r="287">
      <ns0:c r="A287" s="16" t="inlineStr">
        <ns0:is>
          <ns0:t>2025-12-16</ns0:t>
        </ns0:is>
      </ns0:c>
      <ns0:c r="B287" s="41" t="n">
        <ns0:v>8.640000000000001</ns0:v>
      </ns0:c>
      <ns0:c r="C287" s="17">
        <ns0:f>--(B287&lt;'5b_股价与估值'!B2)</ns0:f>
        <ns0:v>0</ns0:v>
      </ns0:c>
    </ns0:row>
    <ns0:row r="288">
      <ns0:c r="A288" s="16" t="inlineStr">
        <ns0:is>
          <ns0:t>2025-12-17</ns0:t>
        </ns0:is>
      </ns0:c>
      <ns0:c r="B288" s="41" t="n">
        <ns0:v>8.449999999999999</ns0:v>
      </ns0:c>
      <ns0:c r="C288" s="17">
        <ns0:f>--(B288&lt;'5b_股价与估值'!B2)</ns0:f>
        <ns0:v>0</ns0:v>
      </ns0:c>
    </ns0:row>
    <ns0:row r="289">
      <ns0:c r="A289" s="16" t="inlineStr">
        <ns0:is>
          <ns0:t>2025-12-18</ns0:t>
        </ns0:is>
      </ns0:c>
      <ns0:c r="B289" s="41" t="n">
        <ns0:v>8.56</ns0:v>
      </ns0:c>
      <ns0:c r="C289" s="17">
        <ns0:f>--(B289&lt;'5b_股价与估值'!B2)</ns0:f>
        <ns0:v>0</ns0:v>
      </ns0:c>
    </ns0:row>
    <ns0:row r="290">
      <ns0:c r="A290" s="16" t="inlineStr">
        <ns0:is>
          <ns0:t>2025-12-19</ns0:t>
        </ns0:is>
      </ns0:c>
      <ns0:c r="B290" s="41" t="n">
        <ns0:v>8.92</ns0:v>
      </ns0:c>
      <ns0:c r="C290" s="17">
        <ns0:f>--(B290&lt;'5b_股价与估值'!B2)</ns0:f>
        <ns0:v>0</ns0:v>
      </ns0:c>
    </ns0:row>
    <ns0:row r="291">
      <ns0:c r="A291" s="16" t="inlineStr">
        <ns0:is>
          <ns0:t>2025-12-22</ns0:t>
        </ns0:is>
      </ns0:c>
      <ns0:c r="B291" s="41" t="n">
        <ns0:v>8.970000000000001</ns0:v>
      </ns0:c>
      <ns0:c r="C291" s="17">
        <ns0:f>--(B291&lt;'5b_股价与估值'!B2)</ns0:f>
        <ns0:v>0</ns0:v>
      </ns0:c>
    </ns0:row>
    <ns0:row r="292">
      <ns0:c r="A292" s="16" t="inlineStr">
        <ns0:is>
          <ns0:t>2025-12-23</ns0:t>
        </ns0:is>
      </ns0:c>
      <ns0:c r="B292" s="41" t="n">
        <ns0:v>8.869999999999999</ns0:v>
      </ns0:c>
      <ns0:c r="C292" s="17">
        <ns0:f>--(B292&lt;'5b_股价与估值'!B2)</ns0:f>
        <ns0:v>0</ns0:v>
      </ns0:c>
    </ns0:row>
    <ns0:row r="293">
      <ns0:c r="A293" s="16" t="inlineStr">
        <ns0:is>
          <ns0:t>2025-12-24</ns0:t>
        </ns0:is>
      </ns0:c>
      <ns0:c r="B293" s="41" t="n">
        <ns0:v>8.83</ns0:v>
      </ns0:c>
      <ns0:c r="C293" s="17">
        <ns0:f>--(B293&lt;'5b_股价与估值'!B2)</ns0:f>
        <ns0:v>0</ns0:v>
      </ns0:c>
    </ns0:row>
    <ns0:row r="294">
      <ns0:c r="A294" s="16" t="inlineStr">
        <ns0:is>
          <ns0:t>2025-12-26</ns0:t>
        </ns0:is>
      </ns0:c>
      <ns0:c r="B294" s="41" t="n">
        <ns0:v>8.710000000000001</ns0:v>
      </ns0:c>
      <ns0:c r="C294" s="17">
        <ns0:f>--(B294&lt;'5b_股价与估值'!B2)</ns0:f>
        <ns0:v>0</ns0:v>
      </ns0:c>
    </ns0:row>
    <ns0:row r="295">
      <ns0:c r="A295" s="16" t="inlineStr">
        <ns0:is>
          <ns0:t>2025-12-29</ns0:t>
        </ns0:is>
      </ns0:c>
      <ns0:c r="B295" s="41" t="n">
        <ns0:v>8.66</ns0:v>
      </ns0:c>
      <ns0:c r="C295" s="17">
        <ns0:f>--(B295&lt;'5b_股价与估值'!B2)</ns0:f>
        <ns0:v>0</ns0:v>
      </ns0:c>
    </ns0:row>
    <ns0:row r="296">
      <ns0:c r="A296" s="16" t="inlineStr">
        <ns0:is>
          <ns0:t>2025-12-30</ns0:t>
        </ns0:is>
      </ns0:c>
      <ns0:c r="B296" s="41" t="n">
        <ns0:v>8.9</ns0:v>
      </ns0:c>
      <ns0:c r="C296" s="17">
        <ns0:f>--(B296&lt;'5b_股价与估值'!B2)</ns0:f>
        <ns0:v>0</ns0:v>
      </ns0:c>
    </ns0:row>
    <ns0:row r="297">
      <ns0:c r="A297" s="16" t="inlineStr">
        <ns0:is>
          <ns0:t>2025-12-31</ns0:t>
        </ns0:is>
      </ns0:c>
      <ns0:c r="B297" s="41" t="n">
        <ns0:v>8.68</ns0:v>
      </ns0:c>
      <ns0:c r="C297" s="17">
        <ns0:f>--(B297&lt;'5b_股价与估值'!B2)</ns0:f>
        <ns0:v>0</ns0:v>
      </ns0:c>
    </ns0:row>
    <ns0:row r="298">
      <ns0:c r="A298" s="16" t="inlineStr">
        <ns0:is>
          <ns0:t>2026-01-02</ns0:t>
        </ns0:is>
      </ns0:c>
      <ns0:c r="B298" s="41" t="n">
        <ns0:v>9.390000000000001</ns0:v>
      </ns0:c>
      <ns0:c r="C298" s="17">
        <ns0:f>--(B298&lt;'5b_股价与估值'!B2)</ns0:f>
        <ns0:v>0</ns0:v>
      </ns0:c>
    </ns0:row>
    <ns0:row r="299">
      <ns0:c r="A299" s="16" t="inlineStr">
        <ns0:is>
          <ns0:t>2026-01-05</ns0:t>
        </ns0:is>
      </ns0:c>
      <ns0:c r="B299" s="41" t="n">
        <ns0:v>9.66</ns0:v>
      </ns0:c>
      <ns0:c r="C299" s="17">
        <ns0:f>--(B299&lt;'5b_股价与估值'!B2)</ns0:f>
        <ns0:v>0</ns0:v>
      </ns0:c>
    </ns0:row>
    <ns0:row r="300">
      <ns0:c r="A300" s="16" t="inlineStr">
        <ns0:is>
          <ns0:t>2026-01-06</ns0:t>
        </ns0:is>
      </ns0:c>
      <ns0:c r="B300" s="41" t="n">
        <ns0:v>9.91</ns0:v>
      </ns0:c>
      <ns0:c r="C300" s="17">
        <ns0:f>--(B300&lt;'5b_股价与估值'!B2)</ns0:f>
        <ns0:v>0</ns0:v>
      </ns0:c>
    </ns0:row>
    <ns0:row r="301">
      <ns0:c r="A301" s="16" t="inlineStr">
        <ns0:is>
          <ns0:t>2026-01-07</ns0:t>
        </ns0:is>
      </ns0:c>
      <ns0:c r="B301" s="41" t="n">
        <ns0:v>9.68</ns0:v>
      </ns0:c>
      <ns0:c r="C301" s="17">
        <ns0:f>--(B301&lt;'5b_股价与估值'!B2)</ns0:f>
        <ns0:v>0</ns0:v>
      </ns0:c>
    </ns0:row>
    <ns0:row r="302">
      <ns0:c r="A302" s="16" t="inlineStr">
        <ns0:is>
          <ns0:t>2026-01-08</ns0:t>
        </ns0:is>
      </ns0:c>
      <ns0:c r="B302" s="41" t="n">
        <ns0:v>9.77</ns0:v>
      </ns0:c>
      <ns0:c r="C302" s="17">
        <ns0:f>--(B302&lt;'5b_股价与估值'!B2)</ns0:f>
        <ns0:v>0</ns0:v>
      </ns0:c>
    </ns0:row>
    <ns0:row r="303">
      <ns0:c r="A303" s="16" t="inlineStr">
        <ns0:is>
          <ns0:t>2026-01-09</ns0:t>
        </ns0:is>
      </ns0:c>
      <ns0:c r="B303" s="41" t="n">
        <ns0:v>9.640000000000001</ns0:v>
      </ns0:c>
      <ns0:c r="C303" s="17">
        <ns0:f>--(B303&lt;'5b_股价与估值'!B2)</ns0:f>
        <ns0:v>0</ns0:v>
      </ns0:c>
    </ns0:row>
    <ns0:row r="304">
      <ns0:c r="A304" s="16" t="inlineStr">
        <ns0:is>
          <ns0:t>2026-01-12</ns0:t>
        </ns0:is>
      </ns0:c>
      <ns0:c r="B304" s="41" t="n">
        <ns0:v>9.789999999999999</ns0:v>
      </ns0:c>
      <ns0:c r="C304" s="17">
        <ns0:f>--(B304&lt;'5b_股价与估值'!B2)</ns0:f>
        <ns0:v>0</ns0:v>
      </ns0:c>
    </ns0:row>
    <ns0:row r="305">
      <ns0:c r="A305" s="16" t="inlineStr">
        <ns0:is>
          <ns0:t>2026-01-13</ns0:t>
        </ns0:is>
      </ns0:c>
      <ns0:c r="B305" s="41" t="n">
        <ns0:v>8.81</ns0:v>
      </ns0:c>
      <ns0:c r="C305" s="17">
        <ns0:f>--(B305&lt;'5b_股价与估值'!B2)</ns0:f>
        <ns0:v>0</ns0:v>
      </ns0:c>
    </ns0:row>
    <ns0:row r="306">
      <ns0:c r="A306" s="16" t="inlineStr">
        <ns0:is>
          <ns0:t>2026-01-14</ns0:t>
        </ns0:is>
      </ns0:c>
      <ns0:c r="B306" s="41" t="n">
        <ns0:v>8.9</ns0:v>
      </ns0:c>
      <ns0:c r="C306" s="17">
        <ns0:f>--(B306&lt;'5b_股价与估值'!B2)</ns0:f>
        <ns0:v>0</ns0:v>
      </ns0:c>
    </ns0:row>
    <ns0:row r="307">
      <ns0:c r="A307" s="16" t="inlineStr">
        <ns0:is>
          <ns0:t>2026-01-15</ns0:t>
        </ns0:is>
      </ns0:c>
      <ns0:c r="B307" s="41" t="n">
        <ns0:v>8.73</ns0:v>
      </ns0:c>
      <ns0:c r="C307" s="17">
        <ns0:f>--(B307&lt;'5b_股价与估值'!B2)</ns0:f>
        <ns0:v>0</ns0:v>
      </ns0:c>
    </ns0:row>
    <ns0:row r="308">
      <ns0:c r="A308" s="16" t="inlineStr">
        <ns0:is>
          <ns0:t>2026-01-16</ns0:t>
        </ns0:is>
      </ns0:c>
      <ns0:c r="B308" s="41" t="n">
        <ns0:v>8.85</ns0:v>
      </ns0:c>
      <ns0:c r="C308" s="17">
        <ns0:f>--(B308&lt;'5b_股价与估值'!B2)</ns0:f>
        <ns0:v>0</ns0:v>
      </ns0:c>
    </ns0:row>
    <ns0:row r="309">
      <ns0:c r="A309" s="16" t="inlineStr">
        <ns0:is>
          <ns0:t>2026-01-20</ns0:t>
        </ns0:is>
      </ns0:c>
      <ns0:c r="B309" s="41" t="n">
        <ns0:v>8.48</ns0:v>
      </ns0:c>
      <ns0:c r="C309" s="17">
        <ns0:f>--(B309&lt;'5b_股价与估值'!B2)</ns0:f>
        <ns0:v>0</ns0:v>
      </ns0:c>
    </ns0:row>
    <ns0:row r="310">
      <ns0:c r="A310" s="16" t="inlineStr">
        <ns0:is>
          <ns0:t>2026-01-21</ns0:t>
        </ns0:is>
      </ns0:c>
      <ns0:c r="B310" s="41" t="n">
        <ns0:v>8.84</ns0:v>
      </ns0:c>
      <ns0:c r="C310" s="17">
        <ns0:f>--(B310&lt;'5b_股价与估值'!B2)</ns0:f>
        <ns0:v>0</ns0:v>
      </ns0:c>
    </ns0:row>
    <ns0:row r="311">
      <ns0:c r="A311" s="16" t="inlineStr">
        <ns0:is>
          <ns0:t>2026-01-22</ns0:t>
        </ns0:is>
      </ns0:c>
      <ns0:c r="B311" s="41" t="n">
        <ns0:v>9.050000000000001</ns0:v>
      </ns0:c>
      <ns0:c r="C311" s="17">
        <ns0:f>--(B311&lt;'5b_股价与估值'!B2)</ns0:f>
        <ns0:v>0</ns0:v>
      </ns0:c>
    </ns0:row>
    <ns0:row r="312">
      <ns0:c r="A312" s="16" t="inlineStr">
        <ns0:is>
          <ns0:t>2026-01-23</ns0:t>
        </ns0:is>
      </ns0:c>
      <ns0:c r="B312" s="41" t="n">
        <ns0:v>8.82</ns0:v>
      </ns0:c>
      <ns0:c r="C312" s="17">
        <ns0:f>--(B312&lt;'5b_股价与估值'!B2)</ns0:f>
        <ns0:v>0</ns0:v>
      </ns0:c>
    </ns0:row>
    <ns0:row r="313">
      <ns0:c r="A313" s="16" t="inlineStr">
        <ns0:is>
          <ns0:t>2026-01-26</ns0:t>
        </ns0:is>
      </ns0:c>
      <ns0:c r="B313" s="41" t="n">
        <ns0:v>8.65</ns0:v>
      </ns0:c>
      <ns0:c r="C313" s="17">
        <ns0:f>--(B313&lt;'5b_股价与估值'!B2)</ns0:f>
        <ns0:v>0</ns0:v>
      </ns0:c>
    </ns0:row>
    <ns0:row r="314">
      <ns0:c r="A314" s="16" t="inlineStr">
        <ns0:is>
          <ns0:t>2026-01-27</ns0:t>
        </ns0:is>
      </ns0:c>
      <ns0:c r="B314" s="41" t="n">
        <ns0:v>8.84</ns0:v>
      </ns0:c>
      <ns0:c r="C314" s="17">
        <ns0:f>--(B314&lt;'5b_股价与估值'!B2)</ns0:f>
        <ns0:v>0</ns0:v>
      </ns0:c>
    </ns0:row>
    <ns0:row r="315">
      <ns0:c r="A315" s="16" t="inlineStr">
        <ns0:is>
          <ns0:t>2026-01-28</ns0:t>
        </ns0:is>
      </ns0:c>
      <ns0:c r="B315" s="41" t="n">
        <ns0:v>8.66</ns0:v>
      </ns0:c>
      <ns0:c r="C315" s="17">
        <ns0:f>--(B315&lt;'5b_股价与估值'!B2)</ns0:f>
        <ns0:v>0</ns0:v>
      </ns0:c>
    </ns0:row>
    <ns0:row r="316">
      <ns0:c r="A316" s="16" t="inlineStr">
        <ns0:is>
          <ns0:t>2026-01-29</ns0:t>
        </ns0:is>
      </ns0:c>
      <ns0:c r="B316" s="41" t="n">
        <ns0:v>8.26</ns0:v>
      </ns0:c>
      <ns0:c r="C316" s="17">
        <ns0:f>--(B316&lt;'5b_股价与估值'!B2)</ns0:f>
        <ns0:v>0</ns0:v>
      </ns0:c>
    </ns0:row>
    <ns0:row r="317">
      <ns0:c r="A317" s="16" t="inlineStr">
        <ns0:is>
          <ns0:t>2026-01-30</ns0:t>
        </ns0:is>
      </ns0:c>
      <ns0:c r="B317" s="41" t="n">
        <ns0:v>8.01</ns0:v>
      </ns0:c>
      <ns0:c r="C317" s="17">
        <ns0:f>--(B317&lt;'5b_股价与估值'!B2)</ns0:f>
        <ns0:v>0</ns0:v>
      </ns0:c>
    </ns0:row>
    <ns0:row r="318">
      <ns0:c r="A318" s="16" t="inlineStr">
        <ns0:is>
          <ns0:t>2026-02-02</ns0:t>
        </ns0:is>
      </ns0:c>
      <ns0:c r="B318" s="41" t="n">
        <ns0:v>7.7</ns0:v>
      </ns0:c>
      <ns0:c r="C318" s="17">
        <ns0:f>--(B318&lt;'5b_股价与估值'!B2)</ns0:f>
        <ns0:v>0</ns0:v>
      </ns0:c>
    </ns0:row>
    <ns0:row r="319">
      <ns0:c r="A319" s="16" t="inlineStr">
        <ns0:is>
          <ns0:t>2026-02-03</ns0:t>
        </ns0:is>
      </ns0:c>
      <ns0:c r="B319" s="41" t="n">
        <ns0:v>7.58</ns0:v>
      </ns0:c>
      <ns0:c r="C319" s="17">
        <ns0:f>--(B319&lt;'5b_股价与估值'!B2)</ns0:f>
        <ns0:v>0</ns0:v>
      </ns0:c>
    </ns0:row>
    <ns0:row r="320">
      <ns0:c r="A320" s="16" t="inlineStr">
        <ns0:is>
          <ns0:t>2026-02-04</ns0:t>
        </ns0:is>
      </ns0:c>
      <ns0:c r="B320" s="41" t="n">
        <ns0:v>7.11</ns0:v>
      </ns0:c>
      <ns0:c r="C320" s="17">
        <ns0:f>--(B320&lt;'5b_股价与估值'!B2)</ns0:f>
        <ns0:v>0</ns0:v>
      </ns0:c>
    </ns0:row>
    <ns0:row r="321">
      <ns0:c r="A321" s="16" t="inlineStr">
        <ns0:is>
          <ns0:t>2026-02-05</ns0:t>
        </ns0:is>
      </ns0:c>
      <ns0:c r="B321" s="41" t="n">
        <ns0:v>7.36</ns0:v>
      </ns0:c>
      <ns0:c r="C321" s="17">
        <ns0:f>--(B321&lt;'5b_股价与估值'!B2)</ns0:f>
        <ns0:v>0</ns0:v>
      </ns0:c>
    </ns0:row>
    <ns0:row r="322">
      <ns0:c r="A322" s="16" t="inlineStr">
        <ns0:is>
          <ns0:t>2026-02-06</ns0:t>
        </ns0:is>
      </ns0:c>
      <ns0:c r="B322" s="41" t="n">
        <ns0:v>7.81</ns0:v>
      </ns0:c>
      <ns0:c r="C322" s="17">
        <ns0:f>--(B322&lt;'5b_股价与估值'!B2)</ns0:f>
        <ns0:v>0</ns0:v>
      </ns0:c>
    </ns0:row>
    <ns0:row r="323">
      <ns0:c r="A323" s="16" t="inlineStr">
        <ns0:is>
          <ns0:t>2026-02-09</ns0:t>
        </ns0:is>
      </ns0:c>
      <ns0:c r="B323" s="41" t="n">
        <ns0:v>8.06</ns0:v>
      </ns0:c>
      <ns0:c r="C323" s="17">
        <ns0:f>--(B323&lt;'5b_股价与估值'!B2)</ns0:f>
        <ns0:v>0</ns0:v>
      </ns0:c>
    </ns0:row>
    <ns0:row r="324">
      <ns0:c r="A324" s="16" t="inlineStr">
        <ns0:is>
          <ns0:t>2026-02-10</ns0:t>
        </ns0:is>
      </ns0:c>
      <ns0:c r="B324" s="41" t="n">
        <ns0:v>8.01</ns0:v>
      </ns0:c>
      <ns0:c r="C324" s="17">
        <ns0:f>--(B324&lt;'5b_股价与估值'!B2)</ns0:f>
        <ns0:v>0</ns0:v>
      </ns0:c>
    </ns0:row>
    <ns0:row r="325">
      <ns0:c r="A325" s="16" t="inlineStr">
        <ns0:is>
          <ns0:t>2026-02-11</ns0:t>
        </ns0:is>
      </ns0:c>
      <ns0:c r="B325" s="41" t="n">
        <ns0:v>7.55</ns0:v>
      </ns0:c>
      <ns0:c r="C325" s="17">
        <ns0:f>--(B325&lt;'5b_股价与估值'!B2)</ns0:f>
        <ns0:v>0</ns0:v>
      </ns0:c>
    </ns0:row>
    <ns0:row r="326">
      <ns0:c r="A326" s="16" t="inlineStr">
        <ns0:is>
          <ns0:t>2026-02-12</ns0:t>
        </ns0:is>
      </ns0:c>
      <ns0:c r="B326" s="41" t="n">
        <ns0:v>7.46</ns0:v>
      </ns0:c>
      <ns0:c r="C326" s="17">
        <ns0:f>--(B326&lt;'5b_股价与估值'!B2)</ns0:f>
        <ns0:v>0</ns0:v>
      </ns0:c>
    </ns0:row>
    <ns0:row r="327">
      <ns0:c r="A327" s="16" t="inlineStr">
        <ns0:is>
          <ns0:t>2026-02-13</ns0:t>
        </ns0:is>
      </ns0:c>
      <ns0:c r="B327" s="41" t="n">
        <ns0:v>7.57</ns0:v>
      </ns0:c>
      <ns0:c r="C327" s="17">
        <ns0:f>--(B327&lt;'5b_股价与估值'!B2)</ns0:f>
        <ns0:v>0</ns0:v>
      </ns0:c>
    </ns0:row>
    <ns0:row r="328">
      <ns0:c r="A328" s="16" t="inlineStr">
        <ns0:is>
          <ns0:t>2026-02-17</ns0:t>
        </ns0:is>
      </ns0:c>
      <ns0:c r="B328" s="41" t="n">
        <ns0:v>7.68</ns0:v>
      </ns0:c>
      <ns0:c r="C328" s="17">
        <ns0:f>--(B328&lt;'5b_股价与估值'!B2)</ns0:f>
        <ns0:v>0</ns0:v>
      </ns0:c>
    </ns0:row>
    <ns0:row r="329">
      <ns0:c r="A329" s="16" t="inlineStr">
        <ns0:is>
          <ns0:t>2026-02-18</ns0:t>
        </ns0:is>
      </ns0:c>
      <ns0:c r="B329" s="41" t="n">
        <ns0:v>7.37</ns0:v>
      </ns0:c>
      <ns0:c r="C329" s="17">
        <ns0:f>--(B329&lt;'5b_股价与估值'!B2)</ns0:f>
        <ns0:v>0</ns0:v>
      </ns0:c>
    </ns0:row>
    <ns0:row r="330">
      <ns0:c r="A330" s="16" t="inlineStr">
        <ns0:is>
          <ns0:t>2026-02-19</ns0:t>
        </ns0:is>
      </ns0:c>
      <ns0:c r="B330" s="41" t="n">
        <ns0:v>7.3</ns0:v>
      </ns0:c>
      <ns0:c r="C330" s="17">
        <ns0:f>--(B330&lt;'5b_股价与估值'!B2)</ns0:f>
        <ns0:v>0</ns0:v>
      </ns0:c>
    </ns0:row>
    <ns0:row r="331">
      <ns0:c r="A331" s="16" t="inlineStr">
        <ns0:is>
          <ns0:t>2026-02-20</ns0:t>
        </ns0:is>
      </ns0:c>
      <ns0:c r="B331" s="41" t="n">
        <ns0:v>7.09</ns0:v>
      </ns0:c>
      <ns0:c r="C331" s="17">
        <ns0:f>--(B331&lt;'5b_股价与估值'!B2)</ns0:f>
        <ns0:v>0</ns0:v>
      </ns0:c>
    </ns0:row>
    <ns0:row r="332">
      <ns0:c r="A332" s="16" t="inlineStr">
        <ns0:is>
          <ns0:t>2026-02-23</ns0:t>
        </ns0:is>
      </ns0:c>
      <ns0:c r="B332" s="41" t="n">
        <ns0:v>7.34</ns0:v>
      </ns0:c>
      <ns0:c r="C332" s="17">
        <ns0:f>--(B332&lt;'5b_股价与估值'!B2)</ns0:f>
        <ns0:v>0</ns0:v>
      </ns0:c>
    </ns0:row>
    <ns0:row r="333">
      <ns0:c r="A333" s="16" t="inlineStr">
        <ns0:is>
          <ns0:t>2026-02-24</ns0:t>
        </ns0:is>
      </ns0:c>
      <ns0:c r="B333" s="41" t="n">
        <ns0:v>7.43</ns0:v>
      </ns0:c>
      <ns0:c r="C333" s="17">
        <ns0:f>--(B333&lt;'5b_股价与估值'!B2)</ns0:f>
        <ns0:v>0</ns0:v>
      </ns0:c>
    </ns0:row>
    <ns0:row r="334">
      <ns0:c r="A334" s="16" t="inlineStr">
        <ns0:is>
          <ns0:t>2026-02-25</ns0:t>
        </ns0:is>
      </ns0:c>
      <ns0:c r="B334" s="41" t="n">
        <ns0:v>7.27</ns0:v>
      </ns0:c>
      <ns0:c r="C334" s="17">
        <ns0:f>--(B334&lt;'5b_股价与估值'!B2)</ns0:f>
        <ns0:v>0</ns0:v>
      </ns0:c>
    </ns0:row>
    <ns0:row r="335">
      <ns0:c r="A335" s="16" t="inlineStr">
        <ns0:is>
          <ns0:t>2026-02-26</ns0:t>
        </ns0:is>
      </ns0:c>
      <ns0:c r="B335" s="41" t="n">
        <ns0:v>7.09</ns0:v>
      </ns0:c>
      <ns0:c r="C335" s="17">
        <ns0:f>--(B335&lt;'5b_股价与估值'!B2)</ns0:f>
        <ns0:v>0</ns0:v>
      </ns0:c>
    </ns0:row>
    <ns0:row r="336">
      <ns0:c r="A336" s="16" t="inlineStr">
        <ns0:is>
          <ns0:t>2026-02-27</ns0:t>
        </ns0:is>
      </ns0:c>
      <ns0:c r="B336" s="41" t="n">
        <ns0:v>6.99</ns0:v>
      </ns0:c>
      <ns0:c r="C336" s="17">
        <ns0:f>--(B336&lt;'5b_股价与估值'!B2)</ns0:f>
        <ns0:v>0</ns0:v>
      </ns0:c>
    </ns0:row>
    <ns0:row r="337">
      <ns0:c r="A337" s="16" t="inlineStr">
        <ns0:is>
          <ns0:t>2026-03-02</ns0:t>
        </ns0:is>
      </ns0:c>
      <ns0:c r="B337" s="41" t="n">
        <ns0:v>6.73</ns0:v>
      </ns0:c>
      <ns0:c r="C337" s="17">
        <ns0:f>--(B337&lt;'5b_股价与估值'!B2)</ns0:f>
        <ns0:v>0</ns0:v>
      </ns0:c>
    </ns0:row>
    <ns0:row r="338">
      <ns0:c r="A338" s="16" t="inlineStr">
        <ns0:is>
          <ns0:t>2026-03-03</ns0:t>
        </ns0:is>
      </ns0:c>
      <ns0:c r="B338" s="41" t="n">
        <ns0:v>6.34</ns0:v>
      </ns0:c>
      <ns0:c r="C338" s="17">
        <ns0:f>--(B338&lt;'5b_股价与估值'!B2)</ns0:f>
        <ns0:v>0</ns0:v>
      </ns0:c>
    </ns0:row>
    <ns0:row r="339">
      <ns0:c r="A339" s="16" t="inlineStr">
        <ns0:is>
          <ns0:t>2026-03-04</ns0:t>
        </ns0:is>
      </ns0:c>
      <ns0:c r="B339" s="41" t="n">
        <ns0:v>6.61</ns0:v>
      </ns0:c>
      <ns0:c r="C339" s="17">
        <ns0:f>--(B339&lt;'5b_股价与估值'!B2)</ns0:f>
        <ns0:v>0</ns0:v>
      </ns0:c>
    </ns0:row>
    <ns0:row r="340">
      <ns0:c r="A340" s="16" t="inlineStr">
        <ns0:is>
          <ns0:t>2026-03-05</ns0:t>
        </ns0:is>
      </ns0:c>
      <ns0:c r="B340" s="41" t="n">
        <ns0:v>6.52</ns0:v>
      </ns0:c>
      <ns0:c r="C340" s="17">
        <ns0:f>--(B340&lt;'5b_股价与估值'!B2)</ns0:f>
        <ns0:v>0</ns0:v>
      </ns0:c>
    </ns0:row>
    <ns0:row r="341">
      <ns0:c r="A341" s="16" t="inlineStr">
        <ns0:is>
          <ns0:t>2026-03-06</ns0:t>
        </ns0:is>
      </ns0:c>
      <ns0:c r="B341" s="41" t="n">
        <ns0:v>6.37</ns0:v>
      </ns0:c>
      <ns0:c r="C341" s="17">
        <ns0:f>--(B341&lt;'5b_股价与估值'!B2)</ns0:f>
        <ns0:v>0</ns0:v>
      </ns0:c>
    </ns0:row>
    <ns0:row r="342">
      <ns0:c r="A342" s="16" t="inlineStr">
        <ns0:is>
          <ns0:t>2026-03-09</ns0:t>
        </ns0:is>
      </ns0:c>
      <ns0:c r="B342" s="41" t="n">
        <ns0:v>6.29</ns0:v>
      </ns0:c>
      <ns0:c r="C342" s="17">
        <ns0:f>--(B342&lt;'5b_股价与估值'!B2)</ns0:f>
        <ns0:v>0</ns0:v>
      </ns0:c>
    </ns0:row>
    <ns0:row r="343">
      <ns0:c r="A343" s="16" t="inlineStr">
        <ns0:is>
          <ns0:t>2026-03-10</ns0:t>
        </ns0:is>
      </ns0:c>
      <ns0:c r="B343" s="41" t="n">
        <ns0:v>6.76</ns0:v>
      </ns0:c>
      <ns0:c r="C343" s="17">
        <ns0:f>--(B343&lt;'5b_股价与估值'!B2)</ns0:f>
        <ns0:v>0</ns0:v>
      </ns0:c>
    </ns0:row>
    <ns0:row r="344">
      <ns0:c r="A344" s="16" t="inlineStr">
        <ns0:is>
          <ns0:t>2026-03-11</ns0:t>
        </ns0:is>
      </ns0:c>
      <ns0:c r="B344" s="41" t="n">
        <ns0:v>6.82</ns0:v>
      </ns0:c>
      <ns0:c r="C344" s="17">
        <ns0:f>--(B344&lt;'5b_股价与估值'!B2)</ns0:f>
        <ns0:v>0</ns0:v>
      </ns0:c>
    </ns0:row>
    <ns0:row r="345">
      <ns0:c r="A345" s="16" t="inlineStr">
        <ns0:is>
          <ns0:t>2026-03-12</ns0:t>
        </ns0:is>
      </ns0:c>
      <ns0:c r="B345" s="41" t="n">
        <ns0:v>6.82</ns0:v>
      </ns0:c>
      <ns0:c r="C345" s="17">
        <ns0:f>--(B345&lt;'5b_股价与估值'!B2)</ns0:f>
        <ns0:v>0</ns0:v>
      </ns0:c>
    </ns0:row>
    <ns0:row r="346">
      <ns0:c r="A346" s="16" t="inlineStr">
        <ns0:is>
          <ns0:t>2026-03-13</ns0:t>
        </ns0:is>
      </ns0:c>
      <ns0:c r="B346" s="41" t="n">
        <ns0:v>6.65</ns0:v>
      </ns0:c>
      <ns0:c r="C346" s="17">
        <ns0:f>--(B346&lt;'5b_股价与估值'!B2)</ns0:f>
        <ns0:v>0</ns0:v>
      </ns0:c>
    </ns0:row>
    <ns0:row r="347">
      <ns0:c r="A347" s="16" t="inlineStr">
        <ns0:is>
          <ns0:t>2026-03-16</ns0:t>
        </ns0:is>
      </ns0:c>
      <ns0:c r="B347" s="41" t="n">
        <ns0:v>6.58</ns0:v>
      </ns0:c>
      <ns0:c r="C347" s="17">
        <ns0:f>--(B347&lt;'5b_股价与估值'!B2)</ns0:f>
        <ns0:v>0</ns0:v>
      </ns0:c>
    </ns0:row>
    <ns0:row r="348">
      <ns0:c r="A348" s="16" t="inlineStr">
        <ns0:is>
          <ns0:t>2026-03-17</ns0:t>
        </ns0:is>
      </ns0:c>
      <ns0:c r="B348" s="41" t="n">
        <ns0:v>6.44</ns0:v>
      </ns0:c>
      <ns0:c r="C348" s="17">
        <ns0:f>--(B348&lt;'5b_股价与估值'!B2)</ns0:f>
        <ns0:v>0</ns0:v>
      </ns0:c>
    </ns0:row>
    <ns0:row r="349">
      <ns0:c r="A349" s="16" t="inlineStr">
        <ns0:is>
          <ns0:t>2026-03-18</ns0:t>
        </ns0:is>
      </ns0:c>
      <ns0:c r="B349" s="41" t="n">
        <ns0:v>6.26</ns0:v>
      </ns0:c>
      <ns0:c r="C349" s="17">
        <ns0:f>--(B349&lt;'5b_股价与估值'!B2)</ns0:f>
        <ns0:v>0</ns0:v>
      </ns0:c>
    </ns0:row>
    <ns0:row r="350">
      <ns0:c r="A350" s="16" t="inlineStr">
        <ns0:is>
          <ns0:t>2026-03-19</ns0:t>
        </ns0:is>
      </ns0:c>
      <ns0:c r="B350" s="41" t="n">
        <ns0:v>6.23</ns0:v>
      </ns0:c>
      <ns0:c r="C350" s="17">
        <ns0:f>--(B350&lt;'5b_股价与估值'!B2)</ns0:f>
        <ns0:v>0</ns0:v>
      </ns0:c>
    </ns0:row>
    <ns0:row r="351">
      <ns0:c r="A351" s="16" t="inlineStr">
        <ns0:is>
          <ns0:t>2026-03-20</ns0:t>
        </ns0:is>
      </ns0:c>
      <ns0:c r="B351" s="41" t="n">
        <ns0:v>6.35</ns0:v>
      </ns0:c>
      <ns0:c r="C351" s="17">
        <ns0:f>--(B351&lt;'5b_股价与估值'!B2)</ns0:f>
        <ns0:v>0</ns0:v>
      </ns0:c>
    </ns0:row>
    <ns0:row r="352">
      <ns0:c r="A352" s="16" t="inlineStr">
        <ns0:is>
          <ns0:t>2026-03-23</ns0:t>
        </ns0:is>
      </ns0:c>
      <ns0:c r="B352" s="41" t="n">
        <ns0:v>6.92</ns0:v>
      </ns0:c>
      <ns0:c r="C352" s="17">
        <ns0:f>--(B352&lt;'5b_股价与估值'!B2)</ns0:f>
        <ns0:v>0</ns0:v>
      </ns0:c>
    </ns0:row>
    <ns0:row r="353">
      <ns0:c r="A353" s="16" t="inlineStr">
        <ns0:is>
          <ns0:t>2026-03-24</ns0:t>
        </ns0:is>
      </ns0:c>
      <ns0:c r="B353" s="41" t="n">
        <ns0:v>7.56</ns0:v>
      </ns0:c>
      <ns0:c r="C353" s="17">
        <ns0:f>--(B353&lt;'5b_股价与估值'!B2)</ns0:f>
        <ns0:v>0</ns0:v>
      </ns0:c>
    </ns0:row>
    <ns0:row r="354">
      <ns0:c r="A354" s="16" t="inlineStr">
        <ns0:is>
          <ns0:t>2026-03-25</ns0:t>
        </ns0:is>
      </ns0:c>
      <ns0:c r="B354" s="41" t="n">
        <ns0:v>7.53</ns0:v>
      </ns0:c>
      <ns0:c r="C354" s="17">
        <ns0:f>--(B354&lt;'5b_股价与估值'!B2)</ns0:f>
        <ns0:v>0</ns0:v>
      </ns0:c>
    </ns0:row>
    <ns0:row r="355">
      <ns0:c r="A355" s="16" t="inlineStr">
        <ns0:is>
          <ns0:t>2026-03-26</ns0:t>
        </ns0:is>
      </ns0:c>
      <ns0:c r="B355" s="41" t="n">
        <ns0:v>7.64</ns0:v>
      </ns0:c>
      <ns0:c r="C355" s="17">
        <ns0:f>--(B355&lt;'5b_股价与估值'!B2)</ns0:f>
        <ns0:v>0</ns0:v>
      </ns0:c>
    </ns0:row>
    <ns0:row r="356">
      <ns0:c r="A356" s="16" t="inlineStr">
        <ns0:is>
          <ns0:t>2026-03-27</ns0:t>
        </ns0:is>
      </ns0:c>
      <ns0:c r="B356" s="41" t="n">
        <ns0:v>6.955</ns0:v>
      </ns0:c>
      <ns0:c r="C356" s="17">
        <ns0:f>--(B356&lt;'5b_股价与估值'!B2)</ns0:f>
        <ns0:v>0</ns0:v>
      </ns0:c>
    </ns0:row>
    <ns0:row r="357">
      <ns0:c r="A357" s="16" t="inlineStr">
        <ns0:is>
          <ns0:t>2026-03-30</ns0:t>
        </ns0:is>
      </ns0:c>
      <ns0:c r="B357" s="41" t="n">
        <ns0:v>7.11</ns0:v>
      </ns0:c>
      <ns0:c r="C357" s="17">
        <ns0:f>--(B357&lt;'5b_股价与估值'!B2)</ns0:f>
        <ns0:v>0</ns0:v>
      </ns0:c>
    </ns0:row>
    <ns0:row r="358">
      <ns0:c r="A358" s="16" t="inlineStr">
        <ns0:is>
          <ns0:t>2026-03-31</ns0:t>
        </ns0:is>
      </ns0:c>
      <ns0:c r="B358" s="41" t="n">
        <ns0:v>8.09</ns0:v>
      </ns0:c>
      <ns0:c r="C358" s="17">
        <ns0:f>--(B358&lt;'5b_股价与估值'!B2)</ns0:f>
        <ns0:v>0</ns0:v>
      </ns0:c>
    </ns0:row>
    <ns0:row r="359">
      <ns0:c r="A359" s="16" t="inlineStr">
        <ns0:is>
          <ns0:t>2026-04-01</ns0:t>
        </ns0:is>
      </ns0:c>
      <ns0:c r="B359" s="41" t="n">
        <ns0:v>7.89</ns0:v>
      </ns0:c>
      <ns0:c r="C359" s="17">
        <ns0:f>--(B359&lt;'5b_股价与估值'!B2)</ns0:f>
        <ns0:v>0</ns0:v>
      </ns0:c>
    </ns0:row>
    <ns0:row r="360">
      <ns0:c r="A360" s="16" t="inlineStr">
        <ns0:is>
          <ns0:t>2026-04-02</ns0:t>
        </ns0:is>
      </ns0:c>
      <ns0:c r="B360" s="41" t="n">
        <ns0:v>7.81</ns0:v>
      </ns0:c>
      <ns0:c r="C360" s="17">
        <ns0:f>--(B360&lt;'5b_股价与估值'!B2)</ns0:f>
        <ns0:v>0</ns0:v>
      </ns0:c>
    </ns0:row>
    <ns0:row r="361">
      <ns0:c r="A361" s="16" t="inlineStr">
        <ns0:is>
          <ns0:t>2026-04-06</ns0:t>
        </ns0:is>
      </ns0:c>
      <ns0:c r="B361" s="41" t="n">
        <ns0:v>7.66</ns0:v>
      </ns0:c>
      <ns0:c r="C361" s="17">
        <ns0:f>--(B361&lt;'5b_股价与估值'!B2)</ns0:f>
        <ns0:v>0</ns0:v>
      </ns0:c>
    </ns0:row>
    <ns0:row r="362">
      <ns0:c r="A362" s="16" t="inlineStr">
        <ns0:is>
          <ns0:t>2026-04-07</ns0:t>
        </ns0:is>
      </ns0:c>
      <ns0:c r="B362" s="41" t="n">
        <ns0:v>7.47</ns0:v>
      </ns0:c>
      <ns0:c r="C362" s="17">
        <ns0:f>--(B362&lt;'5b_股价与估值'!B2)</ns0:f>
        <ns0:v>0</ns0:v>
      </ns0:c>
    </ns0:row>
    <ns0:row r="363">
      <ns0:c r="A363" s="16" t="inlineStr">
        <ns0:is>
          <ns0:t>2026-04-08</ns0:t>
        </ns0:is>
      </ns0:c>
      <ns0:c r="B363" s="41" t="n">
        <ns0:v>7.79</ns0:v>
      </ns0:c>
      <ns0:c r="C363" s="17">
        <ns0:f>--(B363&lt;'5b_股价与估值'!B2)</ns0:f>
        <ns0:v>0</ns0:v>
      </ns0:c>
    </ns0:row>
    <ns0:row r="364">
      <ns0:c r="A364" s="16" t="inlineStr">
        <ns0:is>
          <ns0:t>2026-04-09</ns0:t>
        </ns0:is>
      </ns0:c>
      <ns0:c r="B364" s="41" t="n">
        <ns0:v>7.59</ns0:v>
      </ns0:c>
      <ns0:c r="C364" s="17">
        <ns0:f>--(B364&lt;'5b_股价与估值'!B2)</ns0:f>
        <ns0:v>0</ns0:v>
      </ns0:c>
    </ns0:row>
    <ns0:row r="365">
      <ns0:c r="A365" s="16" t="inlineStr">
        <ns0:is>
          <ns0:t>2026-04-10</ns0:t>
        </ns0:is>
      </ns0:c>
      <ns0:c r="B365" s="41" t="n">
        <ns0:v>7.5</ns0:v>
      </ns0:c>
      <ns0:c r="C365" s="17">
        <ns0:f>--(B365&lt;'5b_股价与估值'!B2)</ns0:f>
        <ns0:v>0</ns0:v>
      </ns0:c>
    </ns0:row>
    <ns0:row r="366">
      <ns0:c r="A366" s="16" t="inlineStr">
        <ns0:is>
          <ns0:t>2026-04-13</ns0:t>
        </ns0:is>
      </ns0:c>
      <ns0:c r="B366" s="41" t="n">
        <ns0:v>7.6</ns0:v>
      </ns0:c>
      <ns0:c r="C366" s="17">
        <ns0:f>--(B366&lt;'5b_股价与估值'!B2)</ns0:f>
        <ns0:v>0</ns0:v>
      </ns0:c>
    </ns0:row>
    <ns0:row r="367">
      <ns0:c r="A367" s="16" t="inlineStr">
        <ns0:is>
          <ns0:t>2026-04-14</ns0:t>
        </ns0:is>
      </ns0:c>
      <ns0:c r="B367" s="41" t="n">
        <ns0:v>7.9</ns0:v>
      </ns0:c>
      <ns0:c r="C367" s="17">
        <ns0:f>--(B367&lt;'5b_股价与估值'!B2)</ns0:f>
        <ns0:v>0</ns0:v>
      </ns0:c>
    </ns0:row>
    <ns0:row r="368">
      <ns0:c r="A368" s="16" t="inlineStr">
        <ns0:is>
          <ns0:t>2026-04-15</ns0:t>
        </ns0:is>
      </ns0:c>
      <ns0:c r="B368" s="41" t="n">
        <ns0:v>8.1</ns0:v>
      </ns0:c>
      <ns0:c r="C368" s="17">
        <ns0:f>--(B368&lt;'5b_股价与估值'!B2)</ns0:f>
        <ns0:v>0</ns0:v>
      </ns0:c>
    </ns0:row>
    <ns0:row r="369">
      <ns0:c r="A369" s="16" t="inlineStr">
        <ns0:is>
          <ns0:t>2026-04-16</ns0:t>
        </ns0:is>
      </ns0:c>
      <ns0:c r="B369" s="41" t="n">
        <ns0:v>8.039999999999999</ns0:v>
      </ns0:c>
      <ns0:c r="C369" s="17">
        <ns0:f>--(B369&lt;'5b_股价与估值'!B2)</ns0:f>
        <ns0:v>0</ns0:v>
      </ns0:c>
    </ns0:row>
    <ns0:row r="370">
      <ns0:c r="A370" s="16" t="inlineStr">
        <ns0:is>
          <ns0:t>2026-04-17</ns0:t>
        </ns0:is>
      </ns0:c>
      <ns0:c r="B370" s="41" t="n">
        <ns0:v>8.210000000000001</ns0:v>
      </ns0:c>
      <ns0:c r="C370" s="17">
        <ns0:f>--(B370&lt;'5b_股价与估值'!B2)</ns0:f>
        <ns0:v>0</ns0:v>
      </ns0:c>
    </ns0:row>
    <ns0:row r="371">
      <ns0:c r="A371" s="16" t="inlineStr">
        <ns0:is>
          <ns0:t>2026-04-20</ns0:t>
        </ns0:is>
      </ns0:c>
      <ns0:c r="B371" s="41" t="n">
        <ns0:v>8.210000000000001</ns0:v>
      </ns0:c>
      <ns0:c r="C371" s="17">
        <ns0:f>--(B371&lt;'5b_股价与估值'!B2)</ns0:f>
        <ns0:v>0</ns0:v>
      </ns0:c>
    </ns0:row>
    <ns0:row r="372">
      <ns0:c r="A372" s="16" t="inlineStr">
        <ns0:is>
          <ns0:t>2026-04-21</ns0:t>
        </ns0:is>
      </ns0:c>
      <ns0:c r="B372" s="41" t="n">
        <ns0:v>8.1</ns0:v>
      </ns0:c>
      <ns0:c r="C372" s="17">
        <ns0:f>--(B372&lt;'5b_股价与估值'!B2)</ns0:f>
        <ns0:v>0</ns0:v>
      </ns0:c>
    </ns0:row>
    <ns0:row r="373">
      <ns0:c r="A373" s="16" t="inlineStr">
        <ns0:is>
          <ns0:t>2026-04-22</ns0:t>
        </ns0:is>
      </ns0:c>
      <ns0:c r="B373" s="41" t="n">
        <ns0:v>8.039999999999999</ns0:v>
      </ns0:c>
      <ns0:c r="C373" s="17">
        <ns0:f>--(B373&lt;'5b_股价与估值'!B2)</ns0:f>
        <ns0:v>0</ns0:v>
      </ns0:c>
    </ns0:row>
    <ns0:row r="374">
      <ns0:c r="A374" s="16" t="inlineStr">
        <ns0:is>
          <ns0:t>2026-04-23</ns0:t>
        </ns0:is>
      </ns0:c>
      <ns0:c r="B374" s="41" t="n">
        <ns0:v>7.67</ns0:v>
      </ns0:c>
      <ns0:c r="C374" s="17">
        <ns0:f>--(B374&lt;'5b_股价与估值'!B2)</ns0:f>
        <ns0:v>0</ns0:v>
      </ns0:c>
    </ns0:row>
    <ns0:row r="375">
      <ns0:c r="A375" s="16" t="inlineStr">
        <ns0:is>
          <ns0:t>2026-04-24</ns0:t>
        </ns0:is>
      </ns0:c>
      <ns0:c r="B375" s="41" t="n">
        <ns0:v>7.96</ns0:v>
      </ns0:c>
      <ns0:c r="C375" s="17">
        <ns0:f>--(B375&lt;'5b_股价与估值'!B2)</ns0:f>
        <ns0:v>0</ns0:v>
      </ns0:c>
    </ns0:row>
    <ns0:row r="376">
      <ns0:c r="A376" s="16" t="inlineStr">
        <ns0:is>
          <ns0:t>2026-04-27</ns0:t>
        </ns0:is>
      </ns0:c>
      <ns0:c r="B376" s="41" t="n">
        <ns0:v>8.17</ns0:v>
      </ns0:c>
      <ns0:c r="C376" s="17">
        <ns0:f>--(B376&lt;'5b_股价与估值'!B2)</ns0:f>
        <ns0:v>0</ns0:v>
      </ns0:c>
    </ns0:row>
    <ns0:row r="377">
      <ns0:c r="A377" s="16" t="inlineStr">
        <ns0:is>
          <ns0:t>2026-04-28</ns0:t>
        </ns0:is>
      </ns0:c>
      <ns0:c r="B377" s="41" t="n">
        <ns0:v>7.82</ns0:v>
      </ns0:c>
      <ns0:c r="C377" s="17">
        <ns0:f>--(B377&lt;'5b_股价与估值'!B2)</ns0:f>
        <ns0:v>0</ns0:v>
      </ns0:c>
    </ns0:row>
    <ns0:row r="378">
      <ns0:c r="A378" s="16" t="inlineStr">
        <ns0:is>
          <ns0:t>2026-04-29</ns0:t>
        </ns0:is>
      </ns0:c>
      <ns0:c r="B378" s="41" t="n">
        <ns0:v>7.48</ns0:v>
      </ns0:c>
      <ns0:c r="C378" s="17">
        <ns0:f>--(B378&lt;'5b_股价与估值'!B2)</ns0:f>
        <ns0:v>0</ns0:v>
      </ns0:c>
    </ns0:row>
    <ns0:row r="379">
      <ns0:c r="A379" s="16" t="inlineStr">
        <ns0:is>
          <ns0:t>2026-04-30</ns0:t>
        </ns0:is>
      </ns0:c>
      <ns0:c r="B379" s="41" t="n">
        <ns0:v>7.72</ns0:v>
      </ns0:c>
      <ns0:c r="C379" s="17">
        <ns0:f>--(B379&lt;'5b_股价与估值'!B2)</ns0:f>
        <ns0:v>0</ns0:v>
      </ns0:c>
    </ns0:row>
    <ns0:row r="380">
      <ns0:c r="A380" s="16" t="inlineStr">
        <ns0:is>
          <ns0:t>2026-05-01</ns0:t>
        </ns0:is>
      </ns0:c>
      <ns0:c r="B380" s="41" t="n">
        <ns0:v>7.64</ns0:v>
      </ns0:c>
      <ns0:c r="C380" s="17">
        <ns0:f>--(B380&lt;'5b_股价与估值'!B2)</ns0:f>
        <ns0:v>0</ns0:v>
      </ns0:c>
    </ns0:row>
    <ns0:row r="381">
      <ns0:c r="A381" s="16" t="inlineStr">
        <ns0:is>
          <ns0:t>2026-05-04</ns0:t>
        </ns0:is>
      </ns0:c>
      <ns0:c r="B381" s="41" t="n">
        <ns0:v>7.84</ns0:v>
      </ns0:c>
      <ns0:c r="C381" s="17">
        <ns0:f>--(B381&lt;'5b_股价与估值'!B2)</ns0:f>
        <ns0:v>0</ns0:v>
      </ns0:c>
    </ns0:row>
    <ns0:row r="382">
      <ns0:c r="A382" s="16" t="inlineStr">
        <ns0:is>
          <ns0:t>2026-05-05</ns0:t>
        </ns0:is>
      </ns0:c>
      <ns0:c r="B382" s="41" t="n">
        <ns0:v>7.63</ns0:v>
      </ns0:c>
      <ns0:c r="C382" s="17">
        <ns0:f>--(B382&lt;'5b_股价与估值'!B2)</ns0:f>
        <ns0:v>0</ns0:v>
      </ns0:c>
    </ns0:row>
    <ns0:row r="383">
      <ns0:c r="A383" s="16" t="inlineStr">
        <ns0:is>
          <ns0:t>2026-05-06</ns0:t>
        </ns0:is>
      </ns0:c>
      <ns0:c r="B383" s="41" t="n">
        <ns0:v>7.71</ns0:v>
      </ns0:c>
      <ns0:c r="C383" s="17">
        <ns0:f>--(B383&lt;'5b_股价与估值'!B2)</ns0:f>
        <ns0:v>0</ns0:v>
      </ns0:c>
    </ns0:row>
    <ns0:row r="384">
      <ns0:c r="A384" s="16" t="inlineStr">
        <ns0:is>
          <ns0:t>2026-05-07</ns0:t>
        </ns0:is>
      </ns0:c>
      <ns0:c r="B384" s="41" t="n">
        <ns0:v>7.39</ns0:v>
      </ns0:c>
      <ns0:c r="C384" s="17">
        <ns0:f>--(B384&lt;'5b_股价与估值'!B2)</ns0:f>
        <ns0:v>0</ns0:v>
      </ns0:c>
    </ns0:row>
    <ns0:row r="385">
      <ns0:c r="A385" s="16" t="inlineStr">
        <ns0:is>
          <ns0:t>2026-05-08</ns0:t>
        </ns0:is>
      </ns0:c>
      <ns0:c r="B385" s="41" t="n">
        <ns0:v>7.51</ns0:v>
      </ns0:c>
      <ns0:c r="C385" s="17">
        <ns0:f>--(B385&lt;'5b_股价与估值'!B2)</ns0:f>
        <ns0:v>0</ns0:v>
      </ns0:c>
    </ns0:row>
    <ns0:row r="386">
      <ns0:c r="A386" s="16" t="inlineStr">
        <ns0:is>
          <ns0:t>2026-05-11</ns0:t>
        </ns0:is>
      </ns0:c>
      <ns0:c r="B386" s="41" t="n">
        <ns0:v>7.76</ns0:v>
      </ns0:c>
      <ns0:c r="C386" s="17">
        <ns0:f>--(B386&lt;'5b_股价与估值'!B2)</ns0:f>
        <ns0:v>0</ns0:v>
      </ns0:c>
    </ns0:row>
    <ns0:row r="387">
      <ns0:c r="A387" s="16" t="inlineStr">
        <ns0:is>
          <ns0:t>2026-05-12</ns0:t>
        </ns0:is>
      </ns0:c>
      <ns0:c r="B387" s="41" t="n">
        <ns0:v>7.71</ns0:v>
      </ns0:c>
      <ns0:c r="C387" s="17">
        <ns0:f>--(B387&lt;'5b_股价与估值'!B2)</ns0:f>
        <ns0:v>0</ns0:v>
      </ns0:c>
    </ns0:row>
    <ns0:row r="388">
      <ns0:c r="A388" s="16" t="inlineStr">
        <ns0:is>
          <ns0:t>2026-05-13</ns0:t>
        </ns0:is>
      </ns0:c>
      <ns0:c r="B388" s="41" t="n">
        <ns0:v>7.65</ns0:v>
      </ns0:c>
      <ns0:c r="C388" s="17">
        <ns0:f>--(B388&lt;'5b_股价与估值'!B2)</ns0:f>
        <ns0:v>0</ns0:v>
      </ns0:c>
    </ns0:row>
    <ns0:row r="389">
      <ns0:c r="A389" s="16" t="inlineStr">
        <ns0:is>
          <ns0:t>2026-05-14</ns0:t>
        </ns0:is>
      </ns0:c>
      <ns0:c r="B389" s="41" t="n">
        <ns0:v>7.6</ns0:v>
      </ns0:c>
      <ns0:c r="C389" s="17">
        <ns0:f>--(B389&lt;'5b_股价与估值'!B2)</ns0:f>
        <ns0:v>0</ns0:v>
      </ns0:c>
    </ns0:row>
    <ns0:row r="390">
      <ns0:c r="A390" s="16" t="inlineStr">
        <ns0:is>
          <ns0:t>2026-05-15</ns0:t>
        </ns0:is>
      </ns0:c>
      <ns0:c r="B390" s="41" t="n">
        <ns0:v>7.14</ns0:v>
      </ns0:c>
      <ns0:c r="C390" s="17">
        <ns0:f>--(B390&lt;'5b_股价与估值'!B2)</ns0:f>
        <ns0:v>0</ns0:v>
      </ns0:c>
    </ns0:row>
    <ns0:row r="391">
      <ns0:c r="A391" s="16" t="inlineStr">
        <ns0:is>
          <ns0:t>2026-05-18</ns0:t>
        </ns0:is>
      </ns0:c>
      <ns0:c r="B391" s="41" t="n">
        <ns0:v>7.01</ns0:v>
      </ns0:c>
      <ns0:c r="C391" s="17">
        <ns0:f>--(B391&lt;'5b_股价与估值'!B2)</ns0:f>
        <ns0:v>0</ns0:v>
      </ns0:c>
    </ns0:row>
    <ns0:row r="392">
      <ns0:c r="A392" s="16" t="inlineStr">
        <ns0:is>
          <ns0:t>2026-05-19</ns0:t>
        </ns0:is>
      </ns0:c>
      <ns0:c r="B392" s="41" t="n">
        <ns0:v>6.65</ns0:v>
      </ns0:c>
      <ns0:c r="C392" s="17">
        <ns0:f>--(B392&lt;'5b_股价与估值'!B2)</ns0:f>
        <ns0:v>0</ns0:v>
      </ns0:c>
    </ns0:row>
    <ns0:row r="393">
      <ns0:c r="A393" s="16" t="inlineStr">
        <ns0:is>
          <ns0:t>2026-05-20</ns0:t>
        </ns0:is>
      </ns0:c>
      <ns0:c r="B393" s="41" t="n">
        <ns0:v>7.14</ns0:v>
      </ns0:c>
      <ns0:c r="C393" s="17">
        <ns0:f>--(B393&lt;'5b_股价与估值'!B2)</ns0:f>
        <ns0:v>0</ns0:v>
      </ns0:c>
    </ns0:row>
    <ns0:row r="394">
      <ns0:c r="A394" s="16" t="inlineStr">
        <ns0:is>
          <ns0:t>2026-05-21</ns0:t>
        </ns0:is>
      </ns0:c>
      <ns0:c r="B394" s="41" t="n">
        <ns0:v>7.38</ns0:v>
      </ns0:c>
      <ns0:c r="C394" s="17">
        <ns0:f>--(B394&lt;'5b_股价与估值'!B2)</ns0:f>
        <ns0:v>0</ns0:v>
      </ns0:c>
    </ns0:row>
    <ns0:row r="395">
      <ns0:c r="A395" s="16" t="inlineStr">
        <ns0:is>
          <ns0:t>2026-05-22</ns0:t>
        </ns0:is>
      </ns0:c>
      <ns0:c r="B395" s="41" t="n">
        <ns0:v>7.34</ns0:v>
      </ns0:c>
      <ns0:c r="C395" s="17">
        <ns0:f>--(B395&lt;'5b_股价与估值'!B2)</ns0:f>
        <ns0:v>0</ns0:v>
      </ns0:c>
    </ns0:row>
    <ns0:row r="396">
      <ns0:c r="A396" s="16" t="inlineStr">
        <ns0:is>
          <ns0:t>2026-05-26</ns0:t>
        </ns0:is>
      </ns0:c>
      <ns0:c r="B396" s="41" t="n">
        <ns0:v>7.37</ns0:v>
      </ns0:c>
      <ns0:c r="C396" s="17">
        <ns0:f>--(B396&lt;'5b_股价与估值'!B2)</ns0:f>
        <ns0:v>0</ns0:v>
      </ns0:c>
    </ns0:row>
    <ns0:row r="397">
      <ns0:c r="A397" s="16" t="inlineStr">
        <ns0:is>
          <ns0:t>2026-05-27</ns0:t>
        </ns0:is>
      </ns0:c>
      <ns0:c r="B397" s="41" t="n">
        <ns0:v>7.29</ns0:v>
      </ns0:c>
      <ns0:c r="C397" s="17">
        <ns0:f>--(B397&lt;'5b_股价与估值'!B2)</ns0:f>
        <ns0:v>0</ns0:v>
      </ns0:c>
    </ns0:row>
    <ns0:row r="398">
      <ns0:c r="A398" s="16" t="inlineStr">
        <ns0:is>
          <ns0:t>2026-05-28</ns0:t>
        </ns0:is>
      </ns0:c>
      <ns0:c r="B398" s="41" t="n">
        <ns0:v>7.42</ns0:v>
      </ns0:c>
      <ns0:c r="C398" s="17">
        <ns0:f>--(B398&lt;'5b_股价与估值'!B2)</ns0:f>
        <ns0:v>0</ns0:v>
      </ns0:c>
    </ns0:row>
    <ns0:row r="399">
      <ns0:c r="A399" s="16" t="inlineStr">
        <ns0:is>
          <ns0:t>2026-05-29</ns0:t>
        </ns0:is>
      </ns0:c>
      <ns0:c r="B399" s="41" t="n">
        <ns0:v>7.55</ns0:v>
      </ns0:c>
      <ns0:c r="C399" s="17">
        <ns0:f>--(B399&lt;'5b_股价与估值'!B2)</ns0:f>
        <ns0:v>0</ns0:v>
      </ns0:c>
    </ns0:row>
    <ns0:row r="400">
      <ns0:c r="A400" s="16" t="inlineStr">
        <ns0:is>
          <ns0:t>2026-06-01</ns0:t>
        </ns0:is>
      </ns0:c>
      <ns0:c r="B400" s="41" t="n">
        <ns0:v>7.81</ns0:v>
      </ns0:c>
      <ns0:c r="C400" s="17">
        <ns0:f>--(B400&lt;'5b_股价与估值'!B2)</ns0:f>
        <ns0:v>0</ns0:v>
      </ns0:c>
    </ns0:row>
    <ns0:row r="401">
      <ns0:c r="A401" s="16" t="inlineStr">
        <ns0:is>
          <ns0:t>2026-06-02</ns0:t>
        </ns0:is>
      </ns0:c>
      <ns0:c r="B401" s="41" t="n">
        <ns0:v>7.75</ns0:v>
      </ns0:c>
      <ns0:c r="C401" s="17">
        <ns0:f>--(B401&lt;'5b_股价与估值'!B2)</ns0:f>
        <ns0:v>0</ns0:v>
      </ns0:c>
    </ns0:row>
    <ns0:row r="402">
      <ns0:c r="A402" s="16" t="inlineStr">
        <ns0:is>
          <ns0:t>2026-06-03</ns0:t>
        </ns0:is>
      </ns0:c>
      <ns0:c r="B402" s="41" t="n">
        <ns0:v>7.96</ns0:v>
      </ns0:c>
      <ns0:c r="C402" s="17">
        <ns0:f>--(B402&lt;'5b_股价与估值'!B2)</ns0:f>
        <ns0:v>0</ns0:v>
      </ns0:c>
    </ns0:row>
    <ns0:row r="403">
      <ns0:c r="A403" s="16" t="inlineStr">
        <ns0:is>
          <ns0:t>2026-06-04</ns0:t>
        </ns0:is>
      </ns0:c>
      <ns0:c r="B403" s="41" t="n">
        <ns0:v>7.25</ns0:v>
      </ns0:c>
      <ns0:c r="C403" s="17">
        <ns0:f>--(B403&lt;'5b_股价与估值'!B2)</ns0:f>
        <ns0:v>0</ns0:v>
      </ns0:c>
    </ns0:row>
    <ns0:row r="404">
      <ns0:c r="A404" s="16" t="inlineStr">
        <ns0:is>
          <ns0:t>2026-06-05</ns0:t>
        </ns0:is>
      </ns0:c>
      <ns0:c r="B404" s="41" t="n">
        <ns0:v>6.6</ns0:v>
      </ns0:c>
      <ns0:c r="C404" s="17">
        <ns0:f>--(B404&lt;'5b_股价与估值'!B2)</ns0:f>
        <ns0:v>0</ns0:v>
      </ns0:c>
    </ns0:row>
    <ns0:row r="405">
      <ns0:c r="A405" s="16" t="inlineStr">
        <ns0:is>
          <ns0:t>2026-06-08</ns0:t>
        </ns0:is>
      </ns0:c>
      <ns0:c r="B405" s="41" t="n">
        <ns0:v>6.56</ns0:v>
      </ns0:c>
      <ns0:c r="C405" s="17">
        <ns0:f>--(B405&lt;'5b_股价与估值'!B2)</ns0:f>
        <ns0:v>0</ns0:v>
      </ns0:c>
    </ns0:row>
    <ns0:row r="406">
      <ns0:c r="A406" s="16" t="inlineStr">
        <ns0:is>
          <ns0:t>2026-06-09</ns0:t>
        </ns0:is>
      </ns0:c>
      <ns0:c r="B406" s="41" t="n">
        <ns0:v>6.47</ns0:v>
      </ns0:c>
      <ns0:c r="C406" s="17">
        <ns0:f>--(B406&lt;'5b_股价与估值'!B2)</ns0:f>
        <ns0:v>0</ns0:v>
      </ns0:c>
    </ns0:row>
    <ns0:row r="407">
      <ns0:c r="A407" s="16" t="inlineStr">
        <ns0:is>
          <ns0:t>2026-06-10</ns0:t>
        </ns0:is>
      </ns0:c>
      <ns0:c r="B407" s="41" t="n">
        <ns0:v>6.1</ns0:v>
      </ns0:c>
      <ns0:c r="C407" s="17">
        <ns0:f>--(B407&lt;'5b_股价与估值'!B2)</ns0:f>
        <ns0:v>0</ns0:v>
      </ns0:c>
    </ns0:row>
    <ns0:row r="408">
      <ns0:c r="A408" s="16" t="inlineStr">
        <ns0:is>
          <ns0:t>2026-06-11</ns0:t>
        </ns0:is>
      </ns0:c>
      <ns0:c r="B408" s="41" t="n">
        <ns0:v>6.29</ns0:v>
      </ns0:c>
      <ns0:c r="C408" s="17">
        <ns0:f>--(B408&lt;'5b_股价与估值'!B2)</ns0:f>
        <ns0:v>0</ns0:v>
      </ns0:c>
    </ns0:row>
    <ns0:row r="409">
      <ns0:c r="A409" s="16" t="inlineStr">
        <ns0:is>
          <ns0:t>2026-06-12</ns0:t>
        </ns0:is>
      </ns0:c>
      <ns0:c r="B409" s="41" t="n">
        <ns0:v>6.17</ns0:v>
      </ns0:c>
      <ns0:c r="C409" s="17">
        <ns0:f>--(B409&lt;'5b_股价与估值'!B2)</ns0:f>
        <ns0:v>0</ns0:v>
      </ns0:c>
    </ns0:row>
    <ns0:row r="410">
      <ns0:c r="A410" s="16" t="inlineStr">
        <ns0:is>
          <ns0:t>2026-06-15</ns0:t>
        </ns0:is>
      </ns0:c>
      <ns0:c r="B410" s="41" t="n">
        <ns0:v>6.48</ns0:v>
      </ns0:c>
      <ns0:c r="C410" s="17">
        <ns0:f>--(B410&lt;'5b_股价与估值'!B2)</ns0:f>
        <ns0:v>0</ns0:v>
      </ns0:c>
    </ns0:row>
    <ns0:row r="411">
      <ns0:c r="A411" s="16" t="inlineStr">
        <ns0:is>
          <ns0:t>2026-06-16</ns0:t>
        </ns0:is>
      </ns0:c>
      <ns0:c r="B411" s="41" t="n">
        <ns0:v>6.3</ns0:v>
      </ns0:c>
      <ns0:c r="C411" s="17">
        <ns0:f>--(B411&lt;'5b_股价与估值'!B2)</ns0:f>
        <ns0:v>0</ns0:v>
      </ns0:c>
    </ns0:row>
    <ns0:row r="412">
      <ns0:c r="A412" s="16" t="inlineStr">
        <ns0:is>
          <ns0:t>2026-06-17</ns0:t>
        </ns0:is>
      </ns0:c>
      <ns0:c r="B412" s="41" t="n">
        <ns0:v>6.31</ns0:v>
      </ns0:c>
      <ns0:c r="C412" s="17">
        <ns0:f>--(B412&lt;'5b_股价与估值'!B2)</ns0:f>
        <ns0:v>0</ns0:v>
      </ns0:c>
    </ns0:row>
    <ns0:row r="413">
      <ns0:c r="A413" s="16" t="inlineStr">
        <ns0:is>
          <ns0:t>2026-06-18</ns0:t>
        </ns0:is>
      </ns0:c>
      <ns0:c r="B413" s="41" t="n">
        <ns0:v>6.35</ns0:v>
      </ns0:c>
      <ns0:c r="C413" s="17">
        <ns0:f>--(B413&lt;'5b_股价与估值'!B2)</ns0:f>
        <ns0:v>0</ns0:v>
      </ns0:c>
    </ns0:row>
    <ns0:row r="414">
      <ns0:c r="A414" s="16" t="inlineStr">
        <ns0:is>
          <ns0:t>2026-06-22</ns0:t>
        </ns0:is>
      </ns0:c>
      <ns0:c r="B414" s="41" t="n">
        <ns0:v>6.03</ns0:v>
      </ns0:c>
      <ns0:c r="C414" s="17">
        <ns0:f>--(B414&lt;'5b_股价与估值'!B2)</ns0:f>
        <ns0:v>0</ns0:v>
      </ns0:c>
    </ns0:row>
    <ns0:row r="415">
      <ns0:c r="A415" s="16" t="inlineStr">
        <ns0:is>
          <ns0:t>2026-06-23</ns0:t>
        </ns0:is>
      </ns0:c>
      <ns0:c r="B415" s="41" t="n">
        <ns0:v>5.75</ns0:v>
      </ns0:c>
      <ns0:c r="C415" s="17">
        <ns0:f>--(B415&lt;'5b_股价与估值'!B2)</ns0:f>
        <ns0:v>0</ns0:v>
      </ns0:c>
    </ns0:row>
    <ns0:row r="416">
      <ns0:c r="A416" s="16" t="inlineStr">
        <ns0:is>
          <ns0:t>2026-06-24</ns0:t>
        </ns0:is>
      </ns0:c>
      <ns0:c r="B416" s="41" t="n">
        <ns0:v>5.6</ns0:v>
      </ns0:c>
      <ns0:c r="C416" s="17">
        <ns0:f>--(B416&lt;'5b_股价与估值'!B2)</ns0:f>
        <ns0:v>0</ns0:v>
      </ns0:c>
    </ns0:row>
    <ns0:row r="417">
      <ns0:c r="A417" s="16" t="inlineStr">
        <ns0:is>
          <ns0:t>2026-06-25</ns0:t>
        </ns0:is>
      </ns0:c>
      <ns0:c r="B417" s="41" t="n">
        <ns0:v>5.42</ns0:v>
      </ns0:c>
      <ns0:c r="C417" s="17">
        <ns0:f>--(B417&lt;'5b_股价与估值'!B2)</ns0:f>
        <ns0:v>1</ns0:v>
      </ns0:c>
    </ns0:row>
    <ns0:row r="418">
      <ns0:c r="A418" s="16" t="inlineStr">
        <ns0:is>
          <ns0:t>2026-06-26</ns0:t>
        </ns0:is>
      </ns0:c>
      <ns0:c r="B418" s="41" t="n">
        <ns0:v>5.5</ns0:v>
      </ns0:c>
      <ns0:c r="C418" s="17">
        <ns0:f>--(B418&lt;'5b_股价与估值'!B2)</ns0:f>
        <ns0:v>1</ns0:v>
      </ns0:c>
    </ns0:row>
    <ns0:row r="419">
      <ns0:c r="A419" s="16" t="inlineStr">
        <ns0:is>
          <ns0:t>2026-06-29</ns0:t>
        </ns0:is>
      </ns0:c>
      <ns0:c r="B419" s="41" t="n">
        <ns0:v>5.71</ns0:v>
      </ns0:c>
      <ns0:c r="C419" s="17">
        <ns0:f>--(B419&lt;'5b_股价与估值'!B2)</ns0:f>
        <ns0:v>0</ns0:v>
      </ns0:c>
    </ns0:row>
    <ns0:row r="420">
      <ns0:c r="A420" s="16" t="inlineStr">
        <ns0:is>
          <ns0:t>2026-06-30</ns0:t>
        </ns0:is>
      </ns0:c>
      <ns0:c r="B420" s="41" t="n">
        <ns0:v>5.82</ns0:v>
      </ns0:c>
      <ns0:c r="C420" s="17">
        <ns0:f>--(B420&lt;'5b_股价与估值'!B2)</ns0:f>
        <ns0:v>0</ns0:v>
      </ns0:c>
    </ns0:row>
    <ns0:row r="421">
      <ns0:c r="A421" s="16" t="inlineStr">
        <ns0:is>
          <ns0:t>2026-07-01</ns0:t>
        </ns0:is>
      </ns0:c>
      <ns0:c r="B421" s="41" t="n">
        <ns0:v>5.71</ns0:v>
      </ns0:c>
      <ns0:c r="C421" s="17">
        <ns0:f>--(B421&lt;'5b_股价与估值'!B2)</ns0:f>
        <ns0:v>0</ns0:v>
      </ns0:c>
    </ns0:row>
    <ns0:row r="422">
      <ns0:c r="A422" s="16" t="inlineStr">
        <ns0:is>
          <ns0:t>2026-07-02</ns0:t>
        </ns0:is>
      </ns0:c>
      <ns0:c r="B422" s="41" t="n">
        <ns0:v>5.52</ns0:v>
      </ns0:c>
      <ns0:c r="C422" s="17">
        <ns0:f>--(B422&lt;'5b_股价与估值'!B2)</ns0:f>
        <ns0:v>0</ns0:v>
      </ns0:c>
    </ns0:row>
    <ns0:row r="423">
      <ns0:c r="A423" s="16" t="inlineStr">
        <ns0:is>
          <ns0:t>2026-07-06</ns0:t>
        </ns0:is>
      </ns0:c>
      <ns0:c r="B423" s="41" t="n">
        <ns0:v>5.63</ns0:v>
      </ns0:c>
      <ns0:c r="C423" s="17">
        <ns0:f>--(B423&lt;'5b_股价与估值'!B2)</ns0:f>
        <ns0:v>0</ns0:v>
      </ns0:c>
    </ns0:row>
    <ns0:row r="424">
      <ns0:c r="A424" s="16" t="inlineStr">
        <ns0:is>
          <ns0:t>2026-07-07</ns0:t>
        </ns0:is>
      </ns0:c>
      <ns0:c r="B424" s="41" t="n">
        <ns0:v>5.43</ns0:v>
      </ns0:c>
      <ns0:c r="C424" s="17">
        <ns0:f>--(B424&lt;'5b_股价与估值'!B2)</ns0:f>
        <ns0:v>1</ns0:v>
      </ns0:c>
    </ns0:row>
    <ns0:row r="425">
      <ns0:c r="A425" s="16" t="inlineStr">
        <ns0:is>
          <ns0:t>2026-07-08</ns0:t>
        </ns0:is>
      </ns0:c>
      <ns0:c r="B425" s="41" t="n">
        <ns0:v>5.38</ns0:v>
      </ns0:c>
      <ns0:c r="C425" s="17">
        <ns0:f>--(B425&lt;'5b_股价与估值'!B2)</ns0:f>
        <ns0:v>1</ns0:v>
      </ns0:c>
    </ns0:row>
    <ns0:row r="426">
      <ns0:c r="A426" s="16" t="inlineStr">
        <ns0:is>
          <ns0:t>2026-07-09</ns0:t>
        </ns0:is>
      </ns0:c>
      <ns0:c r="B426" s="41" t="n">
        <ns0:v>5.55</ns0:v>
      </ns0:c>
      <ns0:c r="C426" s="17">
        <ns0:f>--(B426&lt;'5b_股价与估值'!B2)</ns0:f>
        <ns0:v>0</ns0:v>
      </ns0:c>
    </ns0:row>
    <ns0:row r="427">
      <ns0:c r="A427" s="16" t="inlineStr">
        <ns0:is>
          <ns0:t>2026-07-10</ns0:t>
        </ns0:is>
      </ns0:c>
      <ns0:c r="B427" s="41" t="n">
        <ns0:v>5.57</ns0:v>
      </ns0:c>
      <ns0:c r="C427" s="17">
        <ns0:f>--(B427&lt;'5b_股价与估值'!B2)</ns0:f>
        <ns0:v>0</ns0:v>
      </ns0:c>
    </ns0:row>
    <ns0:row r="428">
      <ns0:c r="A428" s="16" t="inlineStr">
        <ns0:is>
          <ns0:t>2026-07-13</ns0:t>
        </ns0:is>
      </ns0:c>
      <ns0:c r="B428" s="41" t="n">
        <ns0:v>5.74</ns0:v>
      </ns0:c>
      <ns0:c r="C428" s="17">
        <ns0:f>--(B428&lt;'5b_股价与估值'!B2)</ns0:f>
        <ns0:v>0</ns0:v>
      </ns0:c>
    </ns0:row>
    <ns0:row r="429">
      <ns0:c r="A429" s="16" t="inlineStr">
        <ns0:is>
          <ns0:t>2026-07-14</ns0:t>
        </ns0:is>
      </ns0:c>
      <ns0:c r="B429" s="41" t="n">
        <ns0:v>6.12</ns0:v>
      </ns0:c>
      <ns0:c r="C429" s="17">
        <ns0:f>--(B429&lt;'5b_股价与估值'!B2)</ns0:f>
        <ns0:v>0</ns0:v>
      </ns0:c>
    </ns0:row>
    <ns0:row r="430">
      <ns0:c r="A430" s="16" t="inlineStr">
        <ns0:is>
          <ns0:t>2026-07-15</ns0:t>
        </ns0:is>
      </ns0:c>
      <ns0:c r="B430" s="41" t="n">
        <ns0:v>6.18</ns0:v>
      </ns0:c>
      <ns0:c r="C430" s="17">
        <ns0:f>--(B430&lt;'5b_股价与估值'!B2)</ns0:f>
        <ns0:v>0</ns0:v>
      </ns0:c>
    </ns0:row>
    <ns0:row r="431">
      <ns0:c r="A431" s="16" t="inlineStr">
        <ns0:is>
          <ns0:t>2026-07-16</ns0:t>
        </ns0:is>
      </ns0:c>
      <ns0:c r="B431" s="41" t="n">
        <ns0:v>6.15</ns0:v>
      </ns0:c>
      <ns0:c r="C431" s="17">
        <ns0:f>--(B431&lt;'5b_股价与估值'!B2)</ns0:f>
        <ns0:v>0</ns0:v>
      </ns0:c>
    </ns0:row>
    <ns0:row r="432">
      <ns0:c r="A432" s="16" t="inlineStr">
        <ns0:is>
          <ns0:t>2026-07-17</ns0:t>
        </ns0:is>
      </ns0:c>
      <ns0:c r="B432" s="41" t="n">
        <ns0:v>5.98</ns0:v>
      </ns0:c>
      <ns0:c r="C432" s="17">
        <ns0:f>--(B432&lt;'5b_股价与估值'!B2)</ns0:f>
        <ns0:v>0</ns0:v>
      </ns0:c>
    </ns0:row>
    <ns0:row r="433">
      <ns0:c r="A433" s="16" t="inlineStr">
        <ns0:is>
          <ns0:t>2026-07-20</ns0:t>
        </ns0:is>
      </ns0:c>
      <ns0:c r="B433" s="41" t="n">
        <ns0:v>5.95</ns0:v>
      </ns0:c>
      <ns0:c r="C433" s="17">
        <ns0:f>--(B433&lt;'5b_股价与估值'!B2)</ns0:f>
        <ns0:v>0</ns0:v>
      </ns0:c>
    </ns0:row>
    <ns0:row r="434">
      <ns0:c r="A434" s="16" t="inlineStr">
        <ns0:is>
          <ns0:t>2026-07-21</ns0:t>
        </ns0:is>
      </ns0:c>
      <ns0:c r="B434" s="41" t="n">
        <ns0:v>5.92</ns0:v>
      </ns0:c>
      <ns0:c r="C434" s="17">
        <ns0:f>--(B434&lt;'5b_股价与估值'!B2)</ns0:f>
        <ns0:v>0</ns0:v>
      </ns0:c>
    </ns0:row>
    <ns0:row r="435">
      <ns0:c r="A435" s="16" t="inlineStr">
        <ns0:is>
          <ns0:t>2026-07-22</ns0:t>
        </ns0:is>
      </ns0:c>
      <ns0:c r="B435" s="41" t="n">
        <ns0:v>5.79</ns0:v>
      </ns0:c>
      <ns0:c r="C435" s="17">
        <ns0:f>--(B435&lt;'5b_股价与估值'!B2)</ns0:f>
        <ns0:v>0</ns0:v>
      </ns0:c>
    </ns0:row>
    <ns0:row r="436">
      <ns0:c r="A436" s="16" t="inlineStr">
        <ns0:is>
          <ns0:t>2026-07-23</ns0:t>
        </ns0:is>
      </ns0:c>
      <ns0:c r="B436" s="41" t="n">
        <ns0:v>5.71</ns0:v>
      </ns0:c>
      <ns0:c r="C436" s="17">
        <ns0:f>--(B436&lt;'5b_股价与估值'!B2)</ns0:f>
        <ns0:v>0</ns0:v>
      </ns0:c>
    </ns0:row>
    <ns0:row r="437">
      <ns0:c r="A437" s="16" t="inlineStr">
        <ns0:is>
          <ns0:t>2026-07-24</ns0:t>
        </ns0:is>
      </ns0:c>
      <ns0:c r="B437" s="41" t="n">
        <ns0:v>5.32</ns0:v>
      </ns0:c>
      <ns0:c r="C437" s="17">
        <ns0:f>--(B437&lt;'5b_股价与估值'!B2)</ns0:f>
        <ns0:v>1</ns0:v>
      </ns0:c>
    </ns0:row>
    <ns0:row r="438">
      <ns0:c r="A438" s="16" t="inlineStr">
        <ns0:is>
          <ns0:t>2026-07-27</ns0:t>
        </ns0:is>
      </ns0:c>
      <ns0:c r="B438" s="41" t="n">
        <ns0:v>5.63</ns0:v>
      </ns0:c>
      <ns0:c r="C438" s="17">
        <ns0:f>--(B438&lt;'5b_股价与估值'!B2)</ns0:f>
        <ns0:v>0</ns0:v>
      </ns0:c>
    </ns0:row>
    <ns0:row r="439">
      <ns0:c r="A439" s="16" t="inlineStr">
        <ns0:is>
          <ns0:t>2026-07-28</ns0:t>
        </ns0:is>
      </ns0:c>
      <ns0:c r="B439" s="41" t="n">
        <ns0:v>5.81</ns0:v>
      </ns0:c>
      <ns0:c r="C439" s="17">
        <ns0:f>--(B439&lt;'5b_股价与估值'!B2)</ns0:f>
        <ns0:v>0</ns0:v>
      </ns0:c>
    </ns0:row>
    <ns0:row r="440">
      <ns0:c r="A440" s="16" t="inlineStr">
        <ns0:is>
          <ns0:t>2026-07-29</ns0:t>
        </ns0:is>
      </ns0:c>
      <ns0:c r="B440" s="41" t="n">
        <ns0:v>5.78</ns0:v>
      </ns0:c>
      <ns0:c r="C440" s="17">
        <ns0:f>--(B440&lt;'5b_股价与估值'!B2)</ns0:f>
        <ns0:v>0</ns0:v>
      </ns0:c>
    </ns0:row>
    <ns0:row r="441">
      <ns0:c r="A441" s="16" t="inlineStr">
        <ns0:is>
          <ns0:t>2026-07-30</ns0:t>
        </ns0:is>
      </ns0:c>
      <ns0:c r="B441" s="41" t="n">
        <ns0:v>5.95</ns0:v>
      </ns0:c>
      <ns0:c r="C441" s="17">
        <ns0:f>--(B441&lt;'5b_股价与估值'!B2)</ns0:f>
        <ns0:v>0</ns0:v>
      </ns0:c>
    </ns0:row>
    <ns0:row r="442">
      <ns0:c r="A442" s="16" t="inlineStr">
        <ns0:is>
          <ns0:t>2026-07-31</ns0:t>
        </ns0:is>
      </ns0:c>
      <ns0:c r="B442" s="41" t="n">
        <ns0:v>5.82</ns0:v>
      </ns0:c>
      <ns0:c r="C442" s="17">
        <ns0:f>--(B442&lt;'5b_股价与估值'!B2)</ns0:f>
        <ns0:v>0</ns0:v>
      </ns0:c>
    </ns0:row>
    <ns0:row r="443">
      <ns0:c r="A443" s="16" t="inlineStr">
        <ns0:is>
          <ns0:t>2026-08-03</ns0:t>
        </ns0:is>
      </ns0:c>
      <ns0:c r="B443" s="41" t="n">
        <ns0:v>5.9</ns0:v>
      </ns0:c>
      <ns0:c r="C443" s="17">
        <ns0:f>--(B443&lt;'5b_股价与估值'!B2)</ns0:f>
        <ns0:v>0</ns0:v>
      </ns0:c>
    </ns0:row>
    <ns0:row r="444">
      <ns0:c r="A444" s="16" t="inlineStr">
        <ns0:is>
          <ns0:t>2026-08-04</ns0:t>
        </ns0:is>
      </ns0:c>
      <ns0:c r="B444" s="41" t="n">
        <ns0:v>5.98</ns0:v>
      </ns0:c>
      <ns0:c r="C444" s="17">
        <ns0:f>--(B444&lt;'5b_股价与估值'!B2)</ns0:f>
        <ns0:v>0</ns0:v>
      </ns0:c>
    </ns0:row>
    <ns0:row r="445">
      <ns0:c r="A445" s="16" t="inlineStr">
        <ns0:is>
          <ns0:t>2026-08-05</ns0:t>
        </ns0:is>
      </ns0:c>
      <ns0:c r="B445" s="41" t="n">
        <ns0:v>5.86</ns0:v>
      </ns0:c>
      <ns0:c r="C445" s="17">
        <ns0:f>--(B445&lt;'5b_股价与估值'!B2)</ns0:f>
        <ns0:v>0</ns0:v>
      </ns0:c>
    </ns0:row>
    <ns0:row r="446">
      <ns0:c r="A446" s="16" t="inlineStr">
        <ns0:is>
          <ns0:t>2026-08-06</ns0:t>
        </ns0:is>
      </ns0:c>
      <ns0:c r="B446" s="41" t="n">
        <ns0:v>5.9</ns0:v>
      </ns0:c>
      <ns0:c r="C446" s="17">
        <ns0:f>--(B446&lt;'5b_股价与估值'!B2)</ns0:f>
        <ns0:v>0</ns0:v>
      </ns0:c>
    </ns0:row>
    <ns0:row r="447">
      <ns0:c r="A447" s="16" t="inlineStr">
        <ns0:is>
          <ns0:t>2026-08-07</ns0:t>
        </ns0:is>
      </ns0:c>
      <ns0:c r="B447" s="41" t="n">
        <ns0:v>6.3</ns0:v>
      </ns0:c>
      <ns0:c r="C447" s="17">
        <ns0:f>--(B447&lt;'5b_股价与估值'!B2)</ns0:f>
        <ns0:v>0</ns0:v>
      </ns0:c>
    </ns0:row>
    <ns0:row r="448">
      <ns0:c r="A448" s="16" t="inlineStr">
        <ns0:is>
          <ns0:t>2026-08-10</ns0:t>
        </ns0:is>
      </ns0:c>
      <ns0:c r="B448" s="41" t="n">
        <ns0:v>6.32</ns0:v>
      </ns0:c>
      <ns0:c r="C448" s="17">
        <ns0:f>--(B448&lt;'5b_股价与估值'!B2)</ns0:f>
        <ns0:v>0</ns0:v>
      </ns0:c>
    </ns0:row>
    <ns0:row r="449">
      <ns0:c r="A449" s="16" t="inlineStr">
        <ns0:is>
          <ns0:t>2026-08-11</ns0:t>
        </ns0:is>
      </ns0:c>
      <ns0:c r="B449" s="41" t="n">
        <ns0:v>6.33</ns0:v>
      </ns0:c>
      <ns0:c r="C449" s="17">
        <ns0:f>--(B449&lt;'5b_股价与估值'!B2)</ns0:f>
        <ns0:v>0</ns0:v>
      </ns0:c>
    </ns0:row>
    <ns0:row r="450">
      <ns0:c r="A450" s="16" t="inlineStr">
        <ns0:is>
          <ns0:t>2026-08-12</ns0:t>
        </ns0:is>
      </ns0:c>
      <ns0:c r="B450" s="41" t="n">
        <ns0:v>5.72</ns0:v>
      </ns0:c>
      <ns0:c r="C450" s="17">
        <ns0:f>--(B450&lt;'5b_股价与估值'!B2)</ns0:f>
        <ns0:v>0</ns0:v>
      </ns0:c>
    </ns0:row>
    <ns0:row r="451">
      <ns0:c r="A451" s="16" t="inlineStr">
        <ns0:is>
          <ns0:t>2026-08-13</ns0:t>
        </ns0:is>
      </ns0:c>
      <ns0:c r="B451" s="41" t="n">
        <ns0:v>5.95</ns0:v>
      </ns0:c>
      <ns0:c r="C451" s="17">
        <ns0:f>--(B451&lt;'5b_股价与估值'!B2)</ns0:f>
        <ns0:v>0</ns0:v>
      </ns0:c>
    </ns0:row>
    <ns0:row r="452">
      <ns0:c r="A452" s="16" t="inlineStr">
        <ns0:is>
          <ns0:t>2026-08-14</ns0:t>
        </ns0:is>
      </ns0:c>
      <ns0:c r="B452" s="41" t="n">
        <ns0:v>5.85</ns0:v>
      </ns0:c>
      <ns0:c r="C452" s="17">
        <ns0:f>--(B452&lt;'5b_股价与估值'!B2)</ns0:f>
        <ns0:v>0</ns0:v>
      </ns0:c>
    </ns0:row>
    <ns0:row r="453">
      <ns0:c r="A453" s="16" t="inlineStr">
        <ns0:is>
          <ns0:t>2026-08-17</ns0:t>
        </ns0:is>
      </ns0:c>
      <ns0:c r="B453" s="41" t="n">
        <ns0:v>6.08</ns0:v>
      </ns0:c>
      <ns0:c r="C453" s="17">
        <ns0:f>--(B453&lt;'5b_股价与估值'!B2)</ns0:f>
        <ns0:v>0</ns0:v>
      </ns0:c>
    </ns0:row>
    <ns0:row r="454">
      <ns0:c r="A454" s="16" t="inlineStr">
        <ns0:is>
          <ns0:t>2026-08-18</ns0:t>
        </ns0:is>
      </ns0:c>
      <ns0:c r="B454" s="41" t="n">
        <ns0:v>6</ns0:v>
      </ns0:c>
      <ns0:c r="C454" s="17">
        <ns0:f>--(B454&lt;'5b_股价与估值'!B2)</ns0:f>
        <ns0:v>0</ns0:v>
      </ns0:c>
    </ns0:row>
    <ns0:row r="455">
      <ns0:c r="A455" s="16" t="inlineStr">
        <ns0:is>
          <ns0:t>2026-08-19</ns0:t>
        </ns0:is>
      </ns0:c>
      <ns0:c r="B455" s="41" t="n">
        <ns0:v>6.07</ns0:v>
      </ns0:c>
      <ns0:c r="C455" s="17">
        <ns0:f>--(B455&lt;'5b_股价与估值'!B2)</ns0:f>
        <ns0:v>0</ns0:v>
      </ns0:c>
    </ns0:row>
    <ns0:row r="456">
      <ns0:c r="A456" s="16" t="inlineStr">
        <ns0:is>
          <ns0:t>2026-08-20</ns0:t>
        </ns0:is>
      </ns0:c>
      <ns0:c r="B456" s="41" t="n">
        <ns0:v>6.07</ns0:v>
      </ns0:c>
      <ns0:c r="C456" s="17">
        <ns0:f>--(B456&lt;'5b_股价与估值'!B2)</ns0:f>
        <ns0:v>0</ns0:v>
      </ns0:c>
    </ns0:row>
    <ns0:row r="457">
      <ns0:c r="A457" s="16" t="inlineStr">
        <ns0:is>
          <ns0:t>2026-08-21</ns0:t>
        </ns0:is>
      </ns0:c>
      <ns0:c r="B457" s="41" t="n">
        <ns0:v>6.45</ns0:v>
      </ns0:c>
      <ns0:c r="C457" s="17">
        <ns0:f>--(B457&lt;'5b_股价与估值'!B2)</ns0:f>
        <ns0:v>0</ns0:v>
      </ns0:c>
    </ns0:row>
    <ns0:row r="458">
      <ns0:c r="A458" s="16" t="inlineStr">
        <ns0:is>
          <ns0:t>2026-08-24</ns0:t>
        </ns0:is>
      </ns0:c>
      <ns0:c r="B458" s="41" t="n">
        <ns0:v>5.97</ns0:v>
      </ns0:c>
      <ns0:c r="C458" s="17">
        <ns0:f>--(B458&lt;'5b_股价与估值'!B2)</ns0:f>
        <ns0:v>0</ns0:v>
      </ns0:c>
    </ns0:row>
    <ns0:row r="459">
      <ns0:c r="A459" s="16" t="inlineStr">
        <ns0:is>
          <ns0:t>2026-08-25</ns0:t>
        </ns0:is>
      </ns0:c>
      <ns0:c r="B459" s="41" t="n">
        <ns0:v>6.08</ns0:v>
      </ns0:c>
      <ns0:c r="C459" s="17">
        <ns0:f>--(B459&lt;'5b_股价与估值'!B2)</ns0:f>
        <ns0:v>0</ns0:v>
      </ns0:c>
    </ns0:row>
    <ns0:row r="460">
      <ns0:c r="A460" s="16" t="inlineStr">
        <ns0:is>
          <ns0:t>2026-08-26</ns0:t>
        </ns0:is>
      </ns0:c>
      <ns0:c r="B460" s="41" t="n">
        <ns0:v>5.91</ns0:v>
      </ns0:c>
      <ns0:c r="C460" s="17">
        <ns0:f>--(B460&lt;'5b_股价与估值'!B2)</ns0:f>
        <ns0:v>0</ns0:v>
      </ns0:c>
    </ns0:row>
    <ns0:row r="461">
      <ns0:c r="A461" s="16" t="inlineStr">
        <ns0:is>
          <ns0:t>2026-08-27</ns0:t>
        </ns0:is>
      </ns0:c>
      <ns0:c r="B461" s="41" t="n">
        <ns0:v>6.01</ns0:v>
      </ns0:c>
      <ns0:c r="C461" s="17">
        <ns0:f>--(B461&lt;'5b_股价与估值'!B2)</ns0:f>
        <ns0:v>0</ns0:v>
      </ns0:c>
    </ns0:row>
    <ns0:row r="462">
      <ns0:c r="A462" s="16" t="inlineStr">
        <ns0:is>
          <ns0:t>2026-08-28</ns0:t>
        </ns0:is>
      </ns0:c>
      <ns0:c r="B462" s="41" t="n">
        <ns0:v>6.05</ns0:v>
      </ns0:c>
      <ns0:c r="C462" s="17">
        <ns0:f>--(B462&lt;'5b_股价与估值'!B2)</ns0:f>
        <ns0:v>0</ns0:v>
      </ns0:c>
    </ns0:row>
    <ns0:row r="463">
      <ns0:c r="A463" s="16" t="inlineStr">
        <ns0:is>
          <ns0:t>2026-08-31</ns0:t>
        </ns0:is>
      </ns0:c>
      <ns0:c r="B463" s="41" t="n">
        <ns0:v>5.76</ns0:v>
      </ns0:c>
      <ns0:c r="C463" s="17">
        <ns0:f>--(B463&lt;'5b_股价与估值'!B2)</ns0:f>
        <ns0:v>0</ns0:v>
      </ns0:c>
    </ns0:row>
    <ns0:row r="464">
      <ns0:c r="A464" s="16" t="inlineStr">
        <ns0:is>
          <ns0:t>2026-09-01</ns0:t>
        </ns0:is>
      </ns0:c>
      <ns0:c r="B464" s="41" t="n">
        <ns0:v>5.66</ns0:v>
      </ns0:c>
      <ns0:c r="C464" s="17">
        <ns0:f>--(B464&lt;'5b_股价与估值'!B2)</ns0:f>
        <ns0:v>0</ns0:v>
      </ns0:c>
    </ns0:row>
    <ns0:row r="465">
      <ns0:c r="A465" s="16" t="inlineStr">
        <ns0:is>
          <ns0:t>2026-09-02</ns0:t>
        </ns0:is>
      </ns0:c>
      <ns0:c r="B465" s="41" t="n">
        <ns0:v>5.77</ns0:v>
      </ns0:c>
      <ns0:c r="C465" s="17">
        <ns0:f>--(B465&lt;'5b_股价与估值'!B2)</ns0:f>
        <ns0:v>0</ns0:v>
      </ns0:c>
    </ns0:row>
    <ns0:row r="466">
      <ns0:c r="A466" s="16" t="inlineStr">
        <ns0:is>
          <ns0:t>2026-09-03</ns0:t>
        </ns0:is>
      </ns0:c>
      <ns0:c r="B466" s="41" t="n">
        <ns0:v>5.89</ns0:v>
      </ns0:c>
      <ns0:c r="C466" s="17">
        <ns0:f>--(B466&lt;'5b_股价与估值'!B2)</ns0:f>
        <ns0:v>0</ns0:v>
      </ns0:c>
    </ns0:row>
    <ns0:row r="467">
      <ns0:c r="A467" s="16" t="inlineStr">
        <ns0:is>
          <ns0:t>2026-09-04</ns0:t>
        </ns0:is>
      </ns0:c>
      <ns0:c r="B467" s="41" t="n">
        <ns0:v>5.98</ns0:v>
      </ns0:c>
      <ns0:c r="C467" s="17">
        <ns0:f>--(B467&lt;'5b_股价与估值'!B2)</ns0:f>
        <ns0:v>0</ns0:v>
      </ns0:c>
    </ns0:row>
    <ns0:row r="468">
      <ns0:c r="A468" s="16" t="inlineStr">
        <ns0:is>
          <ns0:t>2026-09-08</ns0:t>
        </ns0:is>
      </ns0:c>
      <ns0:c r="B468" s="41" t="n">
        <ns0:v>6.08</ns0:v>
      </ns0:c>
      <ns0:c r="C468" s="17">
        <ns0:f>--(B468&lt;'5b_股价与估值'!B2)</ns0:f>
        <ns0:v>0</ns0:v>
      </ns0:c>
    </ns0:row>
    <ns0:row r="469">
      <ns0:c r="A469" s="16" t="inlineStr">
        <ns0:is>
          <ns0:t>2026-09-09</ns0:t>
        </ns0:is>
      </ns0:c>
      <ns0:c r="B469" s="41" t="n">
        <ns0:v>5.82</ns0:v>
      </ns0:c>
      <ns0:c r="C469" s="17">
        <ns0:f>--(B469&lt;'5b_股价与估值'!B2)</ns0:f>
        <ns0:v>0</ns0:v>
      </ns0:c>
    </ns0:row>
    <ns0:row r="470">
      <ns0:c r="A470" s="16" t="inlineStr">
        <ns0:is>
          <ns0:t>2026-09-10</ns0:t>
        </ns0:is>
      </ns0:c>
      <ns0:c r="B470" s="41" t="n">
        <ns0:v>5.695</ns0:v>
      </ns0:c>
      <ns0:c r="C470" s="17">
        <ns0:f>--(B470&lt;'5b_股价与估值'!B2)</ns0:f>
        <ns0:v>0</ns0:v>
      </ns0:c>
    </ns0:row>
    <ns0:row r="471">
      <ns0:c r="A471" s="16" t="inlineStr">
        <ns0:is>
          <ns0:t>2026-09-11</ns0:t>
        </ns0:is>
      </ns0:c>
      <ns0:c r="B471" s="41" t="n">
        <ns0:v>5.75</ns0:v>
      </ns0:c>
      <ns0:c r="C471" s="17">
        <ns0:f>--(B471&lt;'5b_股价与估值'!B2)</ns0:f>
        <ns0:v>0</ns0:v>
      </ns0:c>
    </ns0:row>
    <ns0:row r="472">
      <ns0:c r="A472" s="16" t="inlineStr">
        <ns0:is>
          <ns0:t>2026-09-14</ns0:t>
        </ns0:is>
      </ns0:c>
      <ns0:c r="B472" s="41" t="n">
        <ns0:v>5.69</ns0:v>
      </ns0:c>
      <ns0:c r="C472" s="17">
        <ns0:f>--(B472&lt;'5b_股价与估值'!B2)</ns0:f>
        <ns0:v>0</ns0:v>
      </ns0:c>
    </ns0:row>
    <ns0:row r="473">
      <ns0:c r="A473" s="16" t="inlineStr">
        <ns0:is>
          <ns0:t>2026-09-15</ns0:t>
        </ns0:is>
      </ns0:c>
      <ns0:c r="B473" s="41" t="n">
        <ns0:v>5.59</ns0:v>
      </ns0:c>
      <ns0:c r="C473" s="17">
        <ns0:f>--(B473&lt;'5b_股价与估值'!B2)</ns0:f>
        <ns0:v>0</ns0:v>
      </ns0:c>
    </ns0:row>
    <ns0:row r="474">
      <ns0:c r="A474" s="16" t="inlineStr">
        <ns0:is>
          <ns0:t>2026-09-16</ns0:t>
        </ns0:is>
      </ns0:c>
      <ns0:c r="B474" s="41" t="n">
        <ns0:v>5.51</ns0:v>
      </ns0:c>
      <ns0:c r="C474" s="17">
        <ns0:f>--(B474&lt;'5b_股价与估值'!B2)</ns0:f>
        <ns0:v>0</ns0:v>
      </ns0:c>
    </ns0:row>
  </ns0:sheetData>
  <ns0:printOptions horizontalCentered="1"/>
  <ns0:pageMargins left="0.75" right="0.75" top="1" bottom="1" header="0.5" footer="0.5"/>
  <ns0:legacyDrawing ns1:id="anysvml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2026-08-03T03:23:30Z</dcterms:created>
  <dcterms:modified xmlns:dcterms="http://purl.org/dc/terms/" xmlns:xsi="http://www.w3.org/2001/XMLSchema-instance" xsi:type="dcterms:W3CDTF">2026-09-17T05:10:50Z</dcterms:modified>
</cp:coreProperties>
</file>
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公司概况" sheetId="1" state="visible" r:id="rId1"/>
    <sheet xmlns:r="http://schemas.openxmlformats.org/officeDocument/2006/relationships" name="1_收入质量" sheetId="2" state="visible" r:id="rId2"/>
    <sheet xmlns:r="http://schemas.openxmlformats.org/officeDocument/2006/relationships" name="2_利润成色" sheetId="3" state="visible" r:id="rId3"/>
    <sheet xmlns:r="http://schemas.openxmlformats.org/officeDocument/2006/relationships" name="3_现金流" sheetId="4" state="visible" r:id="rId4"/>
    <sheet xmlns:r="http://schemas.openxmlformats.org/officeDocument/2006/relationships" name="4_资产负债" sheetId="5" state="visible" r:id="rId5"/>
    <sheet xmlns:r="http://schemas.openxmlformats.org/officeDocument/2006/relationships" name="5_估值与同行" sheetId="6" state="visible" r:id="rId6"/>
    <sheet xmlns:r="http://schemas.openxmlformats.org/officeDocument/2006/relationships" name="6_取数日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小马智行 取数底稿 · 公司概况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t="inlineStr">
        <is>
          <t>公司</t>
        </is>
      </c>
      <c r="B4" t="inlineStr">
        <is>
          <t>小马智行 Pony AI Inc.（NASDAQ: PONY / HKEX: 2026）</t>
        </is>
      </c>
    </row>
    <row r="5">
      <c r="A5" t="inlineStr">
        <is>
          <t>成立/上市</t>
        </is>
      </c>
      <c r="B5" t="inlineStr">
        <is>
          <t>2016 年成立；2024-11-27 纳斯达克 IPO（发行价 13 USD）；2025-11 港交所双重主要上市（毛募资约 9.93 亿美元）</t>
        </is>
      </c>
    </row>
    <row r="6">
      <c r="A6" t="inlineStr">
        <is>
          <t>注册地/架构</t>
        </is>
      </c>
      <c r="B6" t="inlineStr">
        <is>
          <t>开曼群岛；前 VIE 架构 2024-02 终止，全部转为全资子公司</t>
        </is>
      </c>
    </row>
    <row r="7">
      <c r="A7" t="inlineStr">
        <is>
          <t>业务分部</t>
        </is>
      </c>
      <c r="B7" t="inlineStr">
        <is>
          <t>① Robotaxi 服务 ② Robotruck 服务 ③ 授权与应用（FY2026 起改称智能方案）</t>
        </is>
      </c>
    </row>
    <row r="8">
      <c r="A8" t="inlineStr">
        <is>
          <t>审计师</t>
        </is>
      </c>
      <c r="B8" t="inlineStr">
        <is>
          <t>普华永道中天（PCAOB ID 1113），FY2023–FY2025 意见干净，无持续经营疑虑段</t>
        </is>
      </c>
    </row>
    <row r="9">
      <c r="A9" t="inlineStr">
        <is>
          <t>财年/币种</t>
        </is>
      </c>
      <c r="B9" t="inlineStr">
        <is>
          <t>12-31 截止；美元列报；FY2025 折算率 RMB 6.9931/USD</t>
        </is>
      </c>
    </row>
    <row r="10">
      <c r="A10" t="inlineStr">
        <is>
          <t>控制权</t>
        </is>
      </c>
      <c r="B10" t="inlineStr">
        <is>
          <t>AB 股 1:10；彭军持股 13.8%/投票权 51.6%，楼天城 4.9%/18.1%；丰田 9.8%、红杉 5.2%</t>
        </is>
      </c>
    </row>
    <row r="11">
      <c r="A11" t="inlineStr">
        <is>
          <t>标的类型</t>
        </is>
      </c>
      <c r="B11" t="inlineStr">
        <is>
          <t>T5 投入期成长（只登记不实盘）；尺子=PS+单位经济+现金跑道</t>
        </is>
      </c>
    </row>
    <row r="12">
      <c r="A12" t="inlineStr">
        <is>
          <t>数据截至</t>
        </is>
      </c>
      <c r="B12" t="inlineStr">
        <is>
          <t>财报 FY2025 年报 + Q1'26 业绩；股价 2026-08-14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1" t="inlineStr">
        <is>
          <t>收入质量（→ 打灯 #1 / 分析文件第一节）</t>
        </is>
      </c>
    </row>
    <row r="3">
      <c r="A3" s="2" t="inlineStr">
        <is>
          <t>年度分部（USD 千）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  <c r="F3" s="2" t="inlineStr">
        <is>
          <t>出处</t>
        </is>
      </c>
    </row>
    <row r="4">
      <c r="A4" t="inlineStr">
        <is>
          <t>Robotaxi 服务</t>
        </is>
      </c>
      <c r="B4" t="inlineStr">
        <is>
          <t>未取</t>
        </is>
      </c>
      <c r="C4" t="n">
        <v>7700</v>
      </c>
      <c r="D4" t="n">
        <v>7332</v>
      </c>
      <c r="E4" t="n">
        <v>16565</v>
      </c>
      <c r="F4" t="inlineStr">
        <is>
          <t>业绩公告 Q4FY24/Q4FY25</t>
        </is>
      </c>
    </row>
    <row r="5">
      <c r="A5" t="inlineStr">
        <is>
          <t>Robotruck 服务</t>
        </is>
      </c>
      <c r="B5" t="inlineStr">
        <is>
          <t>未取</t>
        </is>
      </c>
      <c r="C5" t="n">
        <v>25049</v>
      </c>
      <c r="D5" t="n">
        <v>40416</v>
      </c>
      <c r="E5" t="n">
        <v>40651</v>
      </c>
      <c r="F5" t="inlineStr">
        <is>
          <t>同上</t>
        </is>
      </c>
    </row>
    <row r="6">
      <c r="A6" t="inlineStr">
        <is>
          <t>授权与应用</t>
        </is>
      </c>
      <c r="B6" t="inlineStr">
        <is>
          <t>未取</t>
        </is>
      </c>
      <c r="C6" t="n">
        <v>39150</v>
      </c>
      <c r="D6" t="n">
        <v>27277</v>
      </c>
      <c r="E6" t="n">
        <v>32785</v>
      </c>
      <c r="F6" t="inlineStr">
        <is>
          <t>同上</t>
        </is>
      </c>
    </row>
    <row r="7">
      <c r="A7" t="inlineStr">
        <is>
          <t>总收入</t>
        </is>
      </c>
      <c r="B7" t="n">
        <v>68386</v>
      </c>
      <c r="C7" t="n">
        <v>71899</v>
      </c>
      <c r="D7" t="n">
        <v>75025</v>
      </c>
      <c r="E7" t="n">
        <v>90001</v>
      </c>
      <c r="F7" t="inlineStr">
        <is>
          <t>EDGAR companyfacts XBRL</t>
        </is>
      </c>
    </row>
    <row r="8">
      <c r="A8" t="inlineStr">
        <is>
          <t>营业成本</t>
        </is>
      </c>
      <c r="B8" t="n">
        <v>36322</v>
      </c>
      <c r="C8" t="n">
        <v>55015</v>
      </c>
      <c r="D8" t="n">
        <v>63622</v>
      </c>
      <c r="E8" t="n">
        <v>75840</v>
      </c>
      <c r="F8" t="inlineStr">
        <is>
          <t>同上</t>
        </is>
      </c>
    </row>
    <row r="9">
      <c r="A9" t="inlineStr">
        <is>
          <t>毛利</t>
        </is>
      </c>
      <c r="B9" t="n">
        <v>32064</v>
      </c>
      <c r="C9" t="n">
        <v>16884</v>
      </c>
      <c r="D9" t="n">
        <v>11403</v>
      </c>
      <c r="E9" t="n">
        <v>14161</v>
      </c>
      <c r="F9" t="inlineStr">
        <is>
          <t>同上</t>
        </is>
      </c>
    </row>
    <row r="10">
      <c r="A10" t="inlineStr">
        <is>
          <t>毛利率</t>
        </is>
      </c>
      <c r="B10" t="inlineStr">
        <is>
          <t>46.9%</t>
        </is>
      </c>
      <c r="C10" t="inlineStr">
        <is>
          <t>23.5%</t>
        </is>
      </c>
      <c r="D10" t="inlineStr">
        <is>
          <t>15.2%</t>
        </is>
      </c>
      <c r="E10" t="inlineStr">
        <is>
          <t>15.7%</t>
        </is>
      </c>
      <c r="F10" t="inlineStr">
        <is>
          <t>计算</t>
        </is>
      </c>
    </row>
    <row r="12">
      <c r="A12" s="2" t="inlineStr">
        <is>
          <t>季度分部（USD 千）</t>
        </is>
      </c>
      <c r="B12" s="2" t="inlineStr">
        <is>
          <t>Q1'25</t>
        </is>
      </c>
      <c r="C12" s="2" t="inlineStr">
        <is>
          <t>Q2'25</t>
        </is>
      </c>
      <c r="D12" s="2" t="inlineStr">
        <is>
          <t>Q3'25</t>
        </is>
      </c>
      <c r="E12" s="2" t="inlineStr">
        <is>
          <t>Q4'25</t>
        </is>
      </c>
      <c r="F12" s="2" t="inlineStr">
        <is>
          <t>Q1'26</t>
        </is>
      </c>
    </row>
    <row r="13">
      <c r="A13" t="inlineStr">
        <is>
          <t>Robotaxi</t>
        </is>
      </c>
      <c r="B13" t="n">
        <v>1738</v>
      </c>
      <c r="C13" t="n">
        <v>1518</v>
      </c>
      <c r="D13" t="n">
        <v>6694</v>
      </c>
      <c r="E13" t="n">
        <v>6615</v>
      </c>
      <c r="F13" t="n">
        <v>8610</v>
      </c>
    </row>
    <row r="14">
      <c r="A14" t="inlineStr">
        <is>
          <t>Robotruck</t>
        </is>
      </c>
      <c r="B14" t="n">
        <v>7796</v>
      </c>
      <c r="C14" t="n">
        <v>9542</v>
      </c>
      <c r="D14" t="n">
        <v>10183</v>
      </c>
      <c r="E14" t="n">
        <v>13168</v>
      </c>
      <c r="F14" t="n">
        <v>10211</v>
      </c>
    </row>
    <row r="15">
      <c r="A15" t="inlineStr">
        <is>
          <t>授权/智能方案</t>
        </is>
      </c>
      <c r="B15" t="n">
        <v>4442</v>
      </c>
      <c r="C15" t="n">
        <v>10357</v>
      </c>
      <c r="D15" t="n">
        <v>8565</v>
      </c>
      <c r="E15" t="n">
        <v>9342</v>
      </c>
      <c r="F15" t="n">
        <v>15455</v>
      </c>
    </row>
    <row r="16">
      <c r="A16" t="inlineStr">
        <is>
          <t>合计</t>
        </is>
      </c>
      <c r="B16" t="n">
        <v>13976</v>
      </c>
      <c r="C16" t="n">
        <v>21417</v>
      </c>
      <c r="D16" t="n">
        <v>25442</v>
      </c>
      <c r="E16" t="n">
        <v>29125</v>
      </c>
      <c r="F16" t="n">
        <v>34276</v>
      </c>
    </row>
    <row r="17">
      <c r="A17" t="inlineStr">
        <is>
          <t>毛利率</t>
        </is>
      </c>
      <c r="B17" t="inlineStr">
        <is>
          <t>16.6%</t>
        </is>
      </c>
      <c r="C17" t="inlineStr">
        <is>
          <t>16.1%</t>
        </is>
      </c>
      <c r="D17" t="inlineStr">
        <is>
          <t>18.4%</t>
        </is>
      </c>
      <c r="E17" t="inlineStr">
        <is>
          <t>12.7%</t>
        </is>
      </c>
      <c r="F17" t="inlineStr">
        <is>
          <t>16.2%</t>
        </is>
      </c>
    </row>
    <row r="18">
      <c r="A18" t="inlineStr">
        <is>
          <t>出处：六期季度业绩公告（6-K EX-99）；季度数与年度数勾稽差 &lt;0.5%（四舍五入）</t>
        </is>
      </c>
    </row>
    <row r="20">
      <c r="A20" s="2" t="inlineStr">
        <is>
          <t>客户集中度</t>
        </is>
      </c>
      <c r="B20" s="2" t="inlineStr">
        <is>
          <t>FY2023</t>
        </is>
      </c>
      <c r="C20" s="2" t="inlineStr">
        <is>
          <t>FY2024</t>
        </is>
      </c>
      <c r="D20" s="2" t="inlineStr">
        <is>
          <t>FY2025</t>
        </is>
      </c>
    </row>
    <row r="21">
      <c r="A21" t="inlineStr">
        <is>
          <t>前三大客户合计</t>
        </is>
      </c>
      <c r="B21" t="inlineStr">
        <is>
          <t>65.8%</t>
        </is>
      </c>
      <c r="C21" t="inlineStr">
        <is>
          <t>43.9%</t>
        </is>
      </c>
      <c r="D21" t="inlineStr">
        <is>
          <t>59.3%</t>
        </is>
      </c>
    </row>
    <row r="22">
      <c r="A22" t="inlineStr">
        <is>
          <t>单一最大客户</t>
        </is>
      </c>
      <c r="B22" t="inlineStr">
        <is>
          <t>31.3%</t>
        </is>
      </c>
      <c r="C22" t="inlineStr">
        <is>
          <t>29.8%</t>
        </is>
      </c>
      <c r="D22" t="inlineStr">
        <is>
          <t>32.9%</t>
        </is>
      </c>
    </row>
    <row r="23">
      <c r="A23" t="inlineStr">
        <is>
          <t>企业客户数</t>
        </is>
      </c>
      <c r="B23" t="n">
        <v>52</v>
      </c>
      <c r="C23" t="n">
        <v>112</v>
      </c>
      <c r="D23" t="n">
        <v>213</v>
      </c>
    </row>
    <row r="24">
      <c r="A24" t="inlineStr">
        <is>
          <t>出处：20-F FY2025 Item 3.D / Item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44" customWidth="1" min="6" max="6"/>
  </cols>
  <sheetData>
    <row r="1">
      <c r="A1" s="1" t="inlineStr">
        <is>
          <t>利润成色（→ 打灯 #11/#12 / 分析文件第二节）</t>
        </is>
      </c>
    </row>
    <row r="3">
      <c r="A3" s="2" t="inlineStr">
        <is>
          <t>USD 千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  <c r="F3" s="2" t="inlineStr">
        <is>
          <t>出处</t>
        </is>
      </c>
    </row>
    <row r="4">
      <c r="A4" t="inlineStr">
        <is>
          <t>营业收入</t>
        </is>
      </c>
      <c r="B4" t="n">
        <v>68386</v>
      </c>
      <c r="C4" t="n">
        <v>71899</v>
      </c>
      <c r="D4" t="n">
        <v>75025</v>
      </c>
      <c r="E4" t="n">
        <v>90001</v>
      </c>
      <c r="F4" t="inlineStr">
        <is>
          <t>XBRL Revenues</t>
        </is>
      </c>
    </row>
    <row r="5">
      <c r="A5" t="inlineStr">
        <is>
          <t>研发费用（GAAP）</t>
        </is>
      </c>
      <c r="B5" t="n">
        <v>153601</v>
      </c>
      <c r="C5" t="n">
        <v>122707</v>
      </c>
      <c r="D5" t="n">
        <v>240179</v>
      </c>
      <c r="E5" t="n">
        <v>217419</v>
      </c>
      <c r="F5" t="inlineStr">
        <is>
          <t>XBRL ResearchAndDevelopmentExpense</t>
        </is>
      </c>
    </row>
    <row r="6">
      <c r="A6" t="inlineStr">
        <is>
          <t>研发/营收</t>
        </is>
      </c>
      <c r="B6" t="inlineStr">
        <is>
          <t>224.6%</t>
        </is>
      </c>
      <c r="C6" t="inlineStr">
        <is>
          <t>170.7%</t>
        </is>
      </c>
      <c r="D6" t="inlineStr">
        <is>
          <t>320.1%</t>
        </is>
      </c>
      <c r="E6" t="inlineStr">
        <is>
          <t>241.6%</t>
        </is>
      </c>
      <c r="F6" t="inlineStr">
        <is>
          <t>计算</t>
        </is>
      </c>
    </row>
    <row r="7">
      <c r="A7" t="inlineStr">
        <is>
          <t>Non-GAAP 研发</t>
        </is>
      </c>
      <c r="B7" t="inlineStr">
        <is>
          <t>—</t>
        </is>
      </c>
      <c r="C7" t="n">
        <v>120900</v>
      </c>
      <c r="D7" t="n">
        <v>137800</v>
      </c>
      <c r="E7" t="n">
        <v>196300</v>
      </c>
      <c r="F7" t="inlineStr">
        <is>
          <t>业绩公告调节表</t>
        </is>
      </c>
    </row>
    <row r="8">
      <c r="A8" t="inlineStr">
        <is>
          <t>销售及管理费用</t>
        </is>
      </c>
      <c r="B8" t="n">
        <v>49178</v>
      </c>
      <c r="C8" t="n">
        <v>37417</v>
      </c>
      <c r="D8" t="n">
        <v>56747</v>
      </c>
      <c r="E8" t="n">
        <v>57599</v>
      </c>
      <c r="F8" t="inlineStr">
        <is>
          <t>XBRL</t>
        </is>
      </c>
    </row>
    <row r="9">
      <c r="A9" t="inlineStr">
        <is>
          <t>经营亏损</t>
        </is>
      </c>
      <c r="B9" t="n">
        <v>-170715</v>
      </c>
      <c r="C9" t="n">
        <v>-143240</v>
      </c>
      <c r="D9" t="n">
        <v>-285523</v>
      </c>
      <c r="E9" t="n">
        <v>-260857</v>
      </c>
      <c r="F9" t="inlineStr">
        <is>
          <t>XBRL OperatingIncomeLoss</t>
        </is>
      </c>
    </row>
    <row r="10">
      <c r="A10" t="inlineStr">
        <is>
          <t>Non-GAAP 经营亏损</t>
        </is>
      </c>
      <c r="B10" t="inlineStr">
        <is>
          <t>—</t>
        </is>
      </c>
      <c r="C10" t="inlineStr">
        <is>
          <t>—</t>
        </is>
      </c>
      <c r="D10" t="n">
        <v>-158500</v>
      </c>
      <c r="E10" t="n">
        <v>-230100</v>
      </c>
      <c r="F10" t="inlineStr">
        <is>
          <t>业绩公告</t>
        </is>
      </c>
    </row>
    <row r="11">
      <c r="A11" t="inlineStr">
        <is>
          <t>归母净亏损</t>
        </is>
      </c>
      <c r="B11" t="n">
        <v>-148018</v>
      </c>
      <c r="C11" t="n">
        <v>-124812</v>
      </c>
      <c r="D11" t="n">
        <v>-274121</v>
      </c>
      <c r="E11" t="n">
        <v>-133969</v>
      </c>
      <c r="F11" t="inlineStr">
        <is>
          <t>XBRL NetIncomeLoss</t>
        </is>
      </c>
    </row>
    <row r="12">
      <c r="A12" t="inlineStr">
        <is>
          <t>合并净亏损</t>
        </is>
      </c>
      <c r="B12" t="inlineStr">
        <is>
          <t>—</t>
        </is>
      </c>
      <c r="C12" t="inlineStr">
        <is>
          <t>—</t>
        </is>
      </c>
      <c r="D12" t="n">
        <v>-274975</v>
      </c>
      <c r="E12" t="n">
        <v>-76800</v>
      </c>
      <c r="F12" t="inlineStr">
        <is>
          <t>业绩公告（FY25 少数股东 +57.2M）</t>
        </is>
      </c>
    </row>
    <row r="13">
      <c r="A13" t="inlineStr">
        <is>
          <t>Non-GAAP 净亏损</t>
        </is>
      </c>
      <c r="B13" t="inlineStr">
        <is>
          <t>—</t>
        </is>
      </c>
      <c r="C13" t="inlineStr">
        <is>
          <t>—</t>
        </is>
      </c>
      <c r="D13" t="n">
        <v>-132300</v>
      </c>
      <c r="E13" t="n">
        <v>-174000</v>
      </c>
      <c r="F13" t="inlineStr">
        <is>
          <t>业绩公告调节表</t>
        </is>
      </c>
    </row>
    <row r="14">
      <c r="A14" t="inlineStr">
        <is>
          <t>股份支付</t>
        </is>
      </c>
      <c r="B14" t="n">
        <v>13184</v>
      </c>
      <c r="C14" t="n">
        <v>3254</v>
      </c>
      <c r="D14" t="n">
        <v>127003</v>
      </c>
      <c r="E14" t="n">
        <v>30798</v>
      </c>
      <c r="F14" t="inlineStr">
        <is>
          <t>XBRL ShareBasedCompensation；FY24 含 US IPO 一次性确认</t>
        </is>
      </c>
    </row>
    <row r="15">
      <c r="A15" t="inlineStr">
        <is>
          <t>加权平均股数(基本)</t>
        </is>
      </c>
      <c r="B15" t="n">
        <v>85319170</v>
      </c>
      <c r="C15" t="n">
        <v>89100415</v>
      </c>
      <c r="D15" t="n">
        <v>114318765</v>
      </c>
      <c r="E15" t="n">
        <v>379914317</v>
      </c>
      <c r="F15" t="inlineStr">
        <is>
          <t>XBRL</t>
        </is>
      </c>
    </row>
    <row r="17">
      <c r="A17" s="2" t="inlineStr">
        <is>
          <t>季度 Non-GAAP 净亏（USD 千）</t>
        </is>
      </c>
      <c r="B17" s="2" t="inlineStr">
        <is>
          <t>Q1'25</t>
        </is>
      </c>
      <c r="C17" s="2" t="inlineStr">
        <is>
          <t>Q2'25</t>
        </is>
      </c>
      <c r="D17" s="2" t="inlineStr">
        <is>
          <t>Q3'25</t>
        </is>
      </c>
      <c r="E17" s="2" t="inlineStr">
        <is>
          <t>Q4'25</t>
        </is>
      </c>
      <c r="F17" s="2" t="inlineStr">
        <is>
          <t>Q1'26</t>
        </is>
      </c>
    </row>
    <row r="18">
      <c r="A18" t="inlineStr">
        <is>
          <t>Non-GAAP 净亏损</t>
        </is>
      </c>
      <c r="B18" t="n">
        <v>-28400</v>
      </c>
      <c r="C18" t="n">
        <v>-46100</v>
      </c>
      <c r="D18" t="n">
        <v>-55000</v>
      </c>
      <c r="E18" t="n">
        <v>-49000</v>
      </c>
      <c r="F18" t="n">
        <v>-41200</v>
      </c>
    </row>
    <row r="19">
      <c r="A19" t="inlineStr">
        <is>
          <t>备注：Q4'25 GAAP 净利 +75.5M 系交易性证券公允价值 +132.5M 所致，非经营改善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48" customWidth="1" min="6" max="6"/>
  </cols>
  <sheetData>
    <row r="1">
      <c r="A1" s="1" t="inlineStr">
        <is>
          <t>现金流检验（→ 打灯 #2/#3 / 分析文件第三节）</t>
        </is>
      </c>
    </row>
    <row r="3">
      <c r="A3" s="2" t="inlineStr">
        <is>
          <t>USD 千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  <c r="F3" s="2" t="inlineStr">
        <is>
          <t>出处</t>
        </is>
      </c>
    </row>
    <row r="4">
      <c r="A4" t="inlineStr">
        <is>
          <t>经营现金流 OCF</t>
        </is>
      </c>
      <c r="B4" t="n">
        <v>-154768</v>
      </c>
      <c r="C4" t="n">
        <v>-115421</v>
      </c>
      <c r="D4" t="n">
        <v>-110758</v>
      </c>
      <c r="E4" t="n">
        <v>-164955</v>
      </c>
      <c r="F4" t="inlineStr">
        <is>
          <t>XBRL NetCashProvidedByUsedInOperatingActivities</t>
        </is>
      </c>
    </row>
    <row r="5">
      <c r="A5" t="inlineStr">
        <is>
          <t>投资现金流</t>
        </is>
      </c>
      <c r="B5" t="n">
        <v>49329</v>
      </c>
      <c r="C5" t="n">
        <v>136494</v>
      </c>
      <c r="D5" t="n">
        <v>-181267</v>
      </c>
      <c r="E5" t="n">
        <v>-889160</v>
      </c>
      <c r="F5" t="inlineStr">
        <is>
          <t>XBRL</t>
        </is>
      </c>
    </row>
    <row r="6">
      <c r="A6" t="inlineStr">
        <is>
          <t>筹资现金流</t>
        </is>
      </c>
      <c r="B6" t="n">
        <v>191573</v>
      </c>
      <c r="C6" t="n">
        <v>89764</v>
      </c>
      <c r="D6" t="n">
        <v>407389</v>
      </c>
      <c r="E6" t="n">
        <v>814833</v>
      </c>
      <c r="F6" t="inlineStr">
        <is>
          <t>XBRL；FY24 US IPO、FY25 HK IPO</t>
        </is>
      </c>
    </row>
    <row r="7">
      <c r="A7" t="inlineStr">
        <is>
          <t>capex</t>
        </is>
      </c>
      <c r="B7" t="inlineStr">
        <is>
          <t>未取</t>
        </is>
      </c>
      <c r="C7" t="inlineStr">
        <is>
          <t>未取</t>
        </is>
      </c>
      <c r="D7" t="n">
        <v>-11400</v>
      </c>
      <c r="E7" t="n">
        <v>-43900</v>
      </c>
      <c r="F7" t="inlineStr">
        <is>
          <t>业绩公告 FCF 调节表</t>
        </is>
      </c>
    </row>
    <row r="8">
      <c r="A8" t="inlineStr">
        <is>
          <t>FCF（Non-GAAP 官方）</t>
        </is>
      </c>
      <c r="B8" t="inlineStr">
        <is>
          <t>—</t>
        </is>
      </c>
      <c r="C8" t="inlineStr">
        <is>
          <t>—</t>
        </is>
      </c>
      <c r="D8" t="n">
        <v>-122200</v>
      </c>
      <c r="E8" t="n">
        <v>-208800</v>
      </c>
      <c r="F8" t="inlineStr">
        <is>
          <t>业绩公告；= OCF − capex 勾稽一致</t>
        </is>
      </c>
    </row>
    <row r="10">
      <c r="A10" s="2" t="inlineStr">
        <is>
          <t>现金跑道测算（2025-12-31）</t>
        </is>
      </c>
    </row>
    <row r="11">
      <c r="A11" t="inlineStr">
        <is>
          <t>现金及等价物</t>
        </is>
      </c>
      <c r="B11" t="n">
        <v>293489</v>
      </c>
      <c r="C11" t="inlineStr"/>
      <c r="D11" t="inlineStr"/>
      <c r="E11" t="inlineStr"/>
      <c r="F11" t="inlineStr">
        <is>
          <t>XBRL</t>
        </is>
      </c>
    </row>
    <row r="12">
      <c r="A12" t="inlineStr">
        <is>
          <t>短期投资</t>
        </is>
      </c>
      <c r="B12" t="n">
        <v>872158</v>
      </c>
      <c r="C12" t="inlineStr"/>
      <c r="D12" t="inlineStr"/>
      <c r="E12" t="inlineStr"/>
      <c r="F12" t="inlineStr">
        <is>
          <t>XBRL</t>
        </is>
      </c>
    </row>
    <row r="13">
      <c r="A13" t="inlineStr">
        <is>
          <t>受限现金</t>
        </is>
      </c>
      <c r="B13" t="n">
        <v>2200</v>
      </c>
      <c r="C13" t="inlineStr"/>
      <c r="D13" t="inlineStr"/>
      <c r="E13" t="inlineStr"/>
      <c r="F13" t="inlineStr">
        <is>
          <t>业绩公告</t>
        </is>
      </c>
    </row>
    <row r="14">
      <c r="A14" t="inlineStr">
        <is>
          <t>长期理财投资</t>
        </is>
      </c>
      <c r="B14" t="n">
        <v>347000</v>
      </c>
      <c r="C14" t="inlineStr"/>
      <c r="D14" t="inlineStr"/>
      <c r="E14" t="inlineStr"/>
      <c r="F14" t="inlineStr">
        <is>
          <t>业绩公告</t>
        </is>
      </c>
    </row>
    <row r="15">
      <c r="A15" t="inlineStr">
        <is>
          <t>总现金池</t>
        </is>
      </c>
      <c r="B15" t="n">
        <v>1514847</v>
      </c>
      <c r="C15" t="inlineStr"/>
      <c r="D15" t="inlineStr"/>
      <c r="E15" t="inlineStr"/>
      <c r="F15" t="inlineStr">
        <is>
          <t>加总</t>
        </is>
      </c>
    </row>
    <row r="16">
      <c r="A16" t="inlineStr">
        <is>
          <t>年烧钱（FY25 FCF）</t>
        </is>
      </c>
      <c r="B16" t="n">
        <v>-208800</v>
      </c>
      <c r="C16" t="inlineStr"/>
      <c r="D16" t="inlineStr"/>
      <c r="E16" t="inlineStr"/>
      <c r="F16" t="inlineStr"/>
    </row>
    <row r="17">
      <c r="A17" t="inlineStr">
        <is>
          <t>跑道（年）</t>
        </is>
      </c>
      <c r="B17" t="n">
        <v>7.3</v>
      </c>
      <c r="C17" t="inlineStr"/>
      <c r="D17" t="inlineStr"/>
      <c r="E17" t="inlineStr"/>
      <c r="F17">
        <f>1514.8/208.8；若烧钱升至 250M/年则约 6 年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52" customWidth="1" min="6" max="6"/>
  </cols>
  <sheetData>
    <row r="1">
      <c r="A1" s="1" t="inlineStr">
        <is>
          <t>资产负债与偿债（→ 打灯 #5-#8 / 分析文件第四节）</t>
        </is>
      </c>
    </row>
    <row r="3">
      <c r="A3" s="2" t="inlineStr">
        <is>
          <t>USD 千</t>
        </is>
      </c>
      <c r="B3" s="2" t="inlineStr">
        <is>
          <t>FY2022</t>
        </is>
      </c>
      <c r="C3" s="2" t="inlineStr">
        <is>
          <t>FY2023</t>
        </is>
      </c>
      <c r="D3" s="2" t="inlineStr">
        <is>
          <t>FY2024</t>
        </is>
      </c>
      <c r="E3" s="2" t="inlineStr">
        <is>
          <t>FY2025</t>
        </is>
      </c>
      <c r="F3" s="2" t="inlineStr">
        <is>
          <t>出处</t>
        </is>
      </c>
    </row>
    <row r="4">
      <c r="A4" t="inlineStr">
        <is>
          <t>总资产</t>
        </is>
      </c>
      <c r="B4" t="n">
        <v>771514</v>
      </c>
      <c r="C4" t="n">
        <v>747117</v>
      </c>
      <c r="D4" t="n">
        <v>1050821</v>
      </c>
      <c r="E4" t="n">
        <v>1812837</v>
      </c>
      <c r="F4" t="inlineStr">
        <is>
          <t>XBRL Assets</t>
        </is>
      </c>
    </row>
    <row r="5">
      <c r="A5" t="inlineStr">
        <is>
          <t>总负债</t>
        </is>
      </c>
      <c r="B5" t="n">
        <v>53602</v>
      </c>
      <c r="C5" t="n">
        <v>51944</v>
      </c>
      <c r="D5" t="n">
        <v>82110</v>
      </c>
      <c r="E5" t="n">
        <v>103838</v>
      </c>
      <c r="F5" t="inlineStr">
        <is>
          <t>XBRL Liabilities</t>
        </is>
      </c>
    </row>
    <row r="6">
      <c r="A6" t="inlineStr">
        <is>
          <t>资产负债率</t>
        </is>
      </c>
      <c r="B6" t="inlineStr">
        <is>
          <t>6.9%</t>
        </is>
      </c>
      <c r="C6" t="inlineStr">
        <is>
          <t>7.0%</t>
        </is>
      </c>
      <c r="D6" t="inlineStr">
        <is>
          <t>7.8%</t>
        </is>
      </c>
      <c r="E6" t="inlineStr">
        <is>
          <t>5.7%</t>
        </is>
      </c>
      <c r="F6" t="inlineStr">
        <is>
          <t>计算</t>
        </is>
      </c>
    </row>
    <row r="7">
      <c r="A7" t="inlineStr">
        <is>
          <t>归母股东权益</t>
        </is>
      </c>
      <c r="B7" t="n">
        <v>-551487</v>
      </c>
      <c r="C7" t="n">
        <v>-677250</v>
      </c>
      <c r="D7" t="n">
        <v>951122</v>
      </c>
      <c r="E7" t="n">
        <v>1652277</v>
      </c>
      <c r="F7" t="inlineStr">
        <is>
          <t>XBRL；FY22/23 为负系 mezzanine 优先股，非资不抵债</t>
        </is>
      </c>
    </row>
    <row r="8">
      <c r="A8" t="inlineStr">
        <is>
          <t>股东权益（含少数）</t>
        </is>
      </c>
      <c r="B8" t="n">
        <v>-539585</v>
      </c>
      <c r="C8" t="n">
        <v>-666105</v>
      </c>
      <c r="D8" t="n">
        <v>968711</v>
      </c>
      <c r="E8" t="n">
        <v>1708999</v>
      </c>
      <c r="F8" t="inlineStr">
        <is>
          <t>XBRL</t>
        </is>
      </c>
    </row>
    <row r="9">
      <c r="A9" t="inlineStr">
        <is>
          <t>现金及等价物</t>
        </is>
      </c>
      <c r="B9" t="n">
        <v>316262</v>
      </c>
      <c r="C9" t="n">
        <v>425960</v>
      </c>
      <c r="D9" t="n">
        <v>535976</v>
      </c>
      <c r="E9" t="n">
        <v>293489</v>
      </c>
      <c r="F9" t="inlineStr">
        <is>
          <t>XBRL</t>
        </is>
      </c>
    </row>
    <row r="10">
      <c r="A10" t="inlineStr">
        <is>
          <t>短期投资</t>
        </is>
      </c>
      <c r="B10" t="n">
        <v>261643</v>
      </c>
      <c r="C10" t="n">
        <v>163594</v>
      </c>
      <c r="D10" t="n">
        <v>209035</v>
      </c>
      <c r="E10" t="n">
        <v>872158</v>
      </c>
      <c r="F10" t="inlineStr">
        <is>
          <t>XBRL</t>
        </is>
      </c>
    </row>
    <row r="11">
      <c r="A11" t="inlineStr">
        <is>
          <t>应收账款</t>
        </is>
      </c>
      <c r="B11" t="n">
        <v>25899</v>
      </c>
      <c r="C11" t="n">
        <v>31580</v>
      </c>
      <c r="D11" t="n">
        <v>28555</v>
      </c>
      <c r="E11" t="n">
        <v>23644</v>
      </c>
      <c r="F11" t="inlineStr">
        <is>
          <t>XBRL</t>
        </is>
      </c>
    </row>
    <row r="12">
      <c r="A12" t="inlineStr">
        <is>
          <t>应收/营收</t>
        </is>
      </c>
      <c r="B12" t="inlineStr">
        <is>
          <t>37.9%</t>
        </is>
      </c>
      <c r="C12" t="inlineStr">
        <is>
          <t>43.9%</t>
        </is>
      </c>
      <c r="D12" t="inlineStr">
        <is>
          <t>38.1%</t>
        </is>
      </c>
      <c r="E12" t="inlineStr">
        <is>
          <t>26.3%</t>
        </is>
      </c>
      <c r="F12" t="inlineStr">
        <is>
          <t>计算 → 打灯 #8 🟡</t>
        </is>
      </c>
    </row>
    <row r="13">
      <c r="A13" t="inlineStr">
        <is>
          <t>应收/总资产</t>
        </is>
      </c>
      <c r="B13" t="inlineStr">
        <is>
          <t>3.4%</t>
        </is>
      </c>
      <c r="C13" t="inlineStr">
        <is>
          <t>4.2%</t>
        </is>
      </c>
      <c r="D13" t="inlineStr">
        <is>
          <t>2.7%</t>
        </is>
      </c>
      <c r="E13" t="inlineStr">
        <is>
          <t>1.3%</t>
        </is>
      </c>
      <c r="F13" t="inlineStr">
        <is>
          <t>计算 → 打灯 #7 🟢</t>
        </is>
      </c>
    </row>
    <row r="14">
      <c r="A14" t="inlineStr">
        <is>
          <t>固定资产及使用权净额</t>
        </is>
      </c>
      <c r="B14" t="n">
        <v>26827</v>
      </c>
      <c r="C14" t="n">
        <v>15420</v>
      </c>
      <c r="D14" t="n">
        <v>17241</v>
      </c>
      <c r="E14" t="n">
        <v>60467</v>
      </c>
      <c r="F14" t="inlineStr">
        <is>
          <t>XBRL；FY25 +251% 系自有车队上表</t>
        </is>
      </c>
    </row>
    <row r="15">
      <c r="A15" t="inlineStr">
        <is>
          <t>有息负债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20-F：无短期/长期借款 → 打灯 #5/#6 🟢</t>
        </is>
      </c>
    </row>
    <row r="16">
      <c r="A16" t="inlineStr">
        <is>
          <t>累计亏损</t>
        </is>
      </c>
      <c r="B16" t="inlineStr"/>
      <c r="C16" t="inlineStr"/>
      <c r="D16" t="inlineStr"/>
      <c r="E16" t="n">
        <v>-1422000</v>
      </c>
      <c r="F16" t="inlineStr">
        <is>
          <t>20-F FY2025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26" customWidth="1" min="4" max="4"/>
    <col width="24" customWidth="1" min="5" max="5"/>
  </cols>
  <sheetData>
    <row r="1">
      <c r="A1" s="1" t="inlineStr">
        <is>
          <t>估值：同行横向+自身纵向+隐含情景（分析文件五/六节）</t>
        </is>
      </c>
    </row>
    <row r="3">
      <c r="A3" t="inlineStr">
        <is>
          <t>同行快照（2026-08-14，东财 105 前缀）</t>
        </is>
      </c>
      <c r="B3" t="inlineStr"/>
      <c r="C3" t="inlineStr"/>
      <c r="D3" t="inlineStr"/>
      <c r="E3" t="inlineStr"/>
    </row>
    <row r="4">
      <c r="A4" s="2" t="inlineStr">
        <is>
          <t>公司</t>
        </is>
      </c>
      <c r="B4" s="2" t="inlineStr">
        <is>
          <t>代码</t>
        </is>
      </c>
      <c r="C4" s="2" t="inlineStr">
        <is>
          <t>现价 USD</t>
        </is>
      </c>
      <c r="D4" s="2" t="inlineStr">
        <is>
          <t>总市值 亿USD</t>
        </is>
      </c>
      <c r="E4" s="2" t="inlineStr">
        <is>
          <t>PB</t>
        </is>
      </c>
    </row>
    <row r="5">
      <c r="A5" t="inlineStr">
        <is>
          <t>小马智行</t>
        </is>
      </c>
      <c r="B5" t="inlineStr">
        <is>
          <t>105.PONY</t>
        </is>
      </c>
      <c r="C5" t="n">
        <v>8.33</v>
      </c>
      <c r="D5" t="n">
        <v>36.19</v>
      </c>
      <c r="E5" t="n">
        <v>2.24</v>
      </c>
    </row>
    <row r="6">
      <c r="A6" t="inlineStr">
        <is>
          <t>文远知行</t>
        </is>
      </c>
      <c r="B6" t="inlineStr">
        <is>
          <t>105.WRD</t>
        </is>
      </c>
      <c r="C6" t="n">
        <v>5.95</v>
      </c>
      <c r="D6" t="n">
        <v>19.57</v>
      </c>
      <c r="E6" t="n">
        <v>2.08</v>
      </c>
    </row>
    <row r="7">
      <c r="A7" t="inlineStr">
        <is>
          <t>Aurora Innovation</t>
        </is>
      </c>
      <c r="B7" t="inlineStr">
        <is>
          <t>105.AUR</t>
        </is>
      </c>
      <c r="C7" t="n">
        <v>6.84</v>
      </c>
      <c r="D7" t="n">
        <v>137.08</v>
      </c>
      <c r="E7" t="n">
        <v>7.02</v>
      </c>
    </row>
    <row r="8">
      <c r="A8" t="inlineStr">
        <is>
          <t>Waymo（未上市）</t>
        </is>
      </c>
      <c r="B8" t="inlineStr">
        <is>
          <t>—</t>
        </is>
      </c>
      <c r="C8" t="inlineStr">
        <is>
          <t>—</t>
        </is>
      </c>
      <c r="D8" t="inlineStr">
        <is>
          <t>&gt;450（私募估值[估算]）</t>
        </is>
      </c>
      <c r="E8" t="inlineStr">
        <is>
          <t>—</t>
        </is>
      </c>
    </row>
    <row r="9">
      <c r="A9" t="inlineStr">
        <is>
          <t>备注：全行业亏损，PE/ROE÷PB 失效；PS 对照缺同行营收样本[待补]</t>
        </is>
      </c>
    </row>
    <row r="11">
      <c r="A11" s="2" t="inlineStr">
        <is>
          <t>自身纵向（窗口 2024-11-27 ~ 2026-08-13，427 个交易日）</t>
        </is>
      </c>
    </row>
    <row r="12">
      <c r="A12" t="inlineStr">
        <is>
          <t>现价</t>
        </is>
      </c>
      <c r="B12" t="n">
        <v>8.33</v>
      </c>
      <c r="C12" t="inlineStr"/>
      <c r="D12" t="inlineStr">
        <is>
          <t>数值分位</t>
        </is>
      </c>
      <c r="E12" t="inlineStr">
        <is>
          <t>14.8%</t>
        </is>
      </c>
    </row>
    <row r="13">
      <c r="A13" t="inlineStr">
        <is>
          <t>区间最高</t>
        </is>
      </c>
      <c r="B13" t="n">
        <v>24.06</v>
      </c>
      <c r="C13" t="inlineStr">
        <is>
          <t>2024-12 投机顶</t>
        </is>
      </c>
      <c r="D13" t="inlineStr">
        <is>
          <t>便宜程度分位</t>
        </is>
      </c>
      <c r="E13" t="inlineStr">
        <is>
          <t>85.2%</t>
        </is>
      </c>
    </row>
    <row r="14">
      <c r="A14" t="inlineStr">
        <is>
          <t>区间最低</t>
        </is>
      </c>
      <c r="B14" t="n">
        <v>4.16</v>
      </c>
      <c r="C14" t="inlineStr">
        <is>
          <t>2025-04</t>
        </is>
      </c>
      <c r="D14" t="inlineStr">
        <is>
          <t>较发行价 13.00</t>
        </is>
      </c>
      <c r="E14" t="inlineStr">
        <is>
          <t>-35.9%</t>
        </is>
      </c>
    </row>
    <row r="15">
      <c r="A15" t="inlineStr">
        <is>
          <t>PS（FY25 静态）</t>
        </is>
      </c>
      <c r="B15" t="inlineStr">
        <is>
          <t>40.2x</t>
        </is>
      </c>
      <c r="C15">
        <f>3619/90.0</f>
        <v/>
      </c>
      <c r="D15" t="inlineStr">
        <is>
          <t>PS（Q1'26 年化）</t>
        </is>
      </c>
      <c r="E15" t="inlineStr">
        <is>
          <t>26.4x</t>
        </is>
      </c>
    </row>
    <row r="16">
      <c r="A16" t="inlineStr">
        <is>
          <t>PB（自算，母公司权益）</t>
        </is>
      </c>
      <c r="B16" t="n">
        <v>2.19</v>
      </c>
      <c r="C16">
        <f>3619/1652.3</f>
        <v/>
      </c>
      <c r="D16" t="inlineStr">
        <is>
          <t>东财 PB（含少数）</t>
        </is>
      </c>
      <c r="E16" t="n">
        <v>2.24</v>
      </c>
    </row>
    <row r="18">
      <c r="A18" s="2" t="inlineStr">
        <is>
          <t>隐含情景倒推（打灯 #16 溢价股替代）</t>
        </is>
      </c>
    </row>
    <row r="19">
      <c r="A19" t="inlineStr">
        <is>
          <t>静态口径</t>
        </is>
      </c>
      <c r="B19" t="inlineStr">
        <is>
          <t>需营收 965M = FY25 × 10.7 倍</t>
        </is>
      </c>
      <c r="C19" t="inlineStr"/>
      <c r="D19" t="inlineStr">
        <is>
          <t>假设：净利率 15%、PE 25x</t>
        </is>
      </c>
    </row>
    <row r="20">
      <c r="A20" t="inlineStr">
        <is>
          <t>含回报口径</t>
        </is>
      </c>
      <c r="B20" t="inlineStr">
        <is>
          <t>需 2036 营收 2,503M，收入 CAGR 39.4%/年×10年</t>
        </is>
      </c>
      <c r="C20" t="inlineStr"/>
      <c r="D20" t="inlineStr">
        <is>
          <t>假设：持有10年、要求回报10%</t>
        </is>
      </c>
    </row>
    <row r="21">
      <c r="A21" t="inlineStr">
        <is>
          <t>下行锚：现金底</t>
        </is>
      </c>
      <c r="B21" t="inlineStr">
        <is>
          <t>3.49 USD/股（-58%）</t>
        </is>
      </c>
      <c r="C21" t="inlineStr"/>
      <c r="D21">
        <f>1514.8M ÷ 434.4M 股[推算]</f>
        <v/>
      </c>
    </row>
    <row r="22">
      <c r="A22" t="inlineStr">
        <is>
          <t>下行锚：PB=1</t>
        </is>
      </c>
      <c r="B22" t="inlineStr">
        <is>
          <t>3.80 USD/股（-54%）</t>
        </is>
      </c>
      <c r="C22" t="inlineStr"/>
      <c r="D22">
        <f>1652.3M ÷ 434.4M 股</f>
        <v/>
      </c>
    </row>
    <row r="23">
      <c r="A23" t="inlineStr">
        <is>
          <t>公司盈亏平衡车队</t>
        </is>
      </c>
      <c r="B23" t="inlineStr">
        <is>
          <t>~7,700 台[推算]</t>
        </is>
      </c>
      <c r="C23" t="inlineStr"/>
      <c r="D23" t="inlineStr">
        <is>
          <t>假设单车年毛利 3 万美元，覆盖 Non-GAAP 经营亏损 230M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52" customWidth="1" min="4" max="4"/>
    <col width="12" customWidth="1" min="5" max="5"/>
    <col width="40" customWidth="1" min="6" max="6"/>
  </cols>
  <sheetData>
    <row r="1">
      <c r="A1" s="1" t="inlineStr">
        <is>
          <t>取数日志（13 条）</t>
        </is>
      </c>
    </row>
    <row r="3">
      <c r="A3" s="2" t="inlineStr">
        <is>
          <t>#</t>
        </is>
      </c>
      <c r="B3" s="2" t="inlineStr">
        <is>
          <t>数据项</t>
        </is>
      </c>
      <c r="C3" s="2" t="inlineStr">
        <is>
          <t>来源</t>
        </is>
      </c>
      <c r="D3" s="2" t="inlineStr">
        <is>
          <t>取数方式</t>
        </is>
      </c>
      <c r="E3" s="2" t="inlineStr">
        <is>
          <t>取数日期</t>
        </is>
      </c>
      <c r="F3" s="2" t="inlineStr">
        <is>
          <t>备注</t>
        </is>
      </c>
    </row>
    <row r="4">
      <c r="A4" t="n">
        <v>1</v>
      </c>
      <c r="B4" t="inlineStr">
        <is>
          <t>披露文件清单（20-F/6-K/424B4）</t>
        </is>
      </c>
      <c r="C4" t="inlineStr">
        <is>
          <t>SEC EDGAR submissions API</t>
        </is>
      </c>
      <c r="D4" t="inlineStr">
        <is>
          <t>https://data.sec.gov/submissions/CIK0001969302.json</t>
        </is>
      </c>
      <c r="E4" t="inlineStr">
        <is>
          <t>2026-08-13</t>
        </is>
      </c>
      <c r="F4" t="inlineStr">
        <is>
          <t>需带 User-Agent</t>
        </is>
      </c>
    </row>
    <row r="5">
      <c r="A5" t="n">
        <v>2</v>
      </c>
      <c r="B5" t="inlineStr">
        <is>
          <t>20-F FY2024 / FY2025 原文</t>
        </is>
      </c>
      <c r="C5" t="inlineStr">
        <is>
          <t>SEC EDGAR Archives</t>
        </is>
      </c>
      <c r="D5" t="inlineStr">
        <is>
          <t>filing index.json → 主文档下载</t>
        </is>
      </c>
      <c r="E5" t="inlineStr">
        <is>
          <t>2026-08-13</t>
        </is>
      </c>
      <c r="F5" t="inlineStr">
        <is>
          <t>1.原始材料/a_年报</t>
        </is>
      </c>
    </row>
    <row r="6">
      <c r="A6" t="n">
        <v>3</v>
      </c>
      <c r="B6" t="inlineStr">
        <is>
          <t>424B4 招股书（2024-11-27）</t>
        </is>
      </c>
      <c r="C6" t="inlineStr">
        <is>
          <t>SEC EDGAR Archives</t>
        </is>
      </c>
      <c r="D6" t="inlineStr">
        <is>
          <t>同上</t>
        </is>
      </c>
      <c r="E6" t="inlineStr">
        <is>
          <t>2026-08-13</t>
        </is>
      </c>
      <c r="F6" t="inlineStr">
        <is>
          <t>1.原始材料/b_招股书</t>
        </is>
      </c>
    </row>
    <row r="7">
      <c r="A7" t="n">
        <v>4</v>
      </c>
      <c r="B7" t="inlineStr">
        <is>
          <t>六期季度业绩公告</t>
        </is>
      </c>
      <c r="C7" t="inlineStr">
        <is>
          <t>SEC EDGAR 6-K EX-99 exhibit</t>
        </is>
      </c>
      <c r="D7" t="inlineStr">
        <is>
          <t>index.json 列文件→下载 ex99；主文档仅封面页</t>
        </is>
      </c>
      <c r="E7" t="inlineStr">
        <is>
          <t>2026-08-13</t>
        </is>
      </c>
      <c r="F7" t="inlineStr">
        <is>
          <t>22 份 6-K exhibits，Q4FY24→Q1'26 六期业绩齐</t>
        </is>
      </c>
    </row>
    <row r="8">
      <c r="A8" t="n">
        <v>5</v>
      </c>
      <c r="B8" t="inlineStr">
        <is>
          <t>年度报表骨架 26 科目×FY2022-25</t>
        </is>
      </c>
      <c r="C8" t="inlineStr">
        <is>
          <t>EDGAR companyfacts XBRL</t>
        </is>
      </c>
      <c r="D8" t="inlineStr">
        <is>
          <t>form=20-F + end=12-31 + 排除多年累计 + 取最新 fy</t>
        </is>
      </c>
      <c r="E8" t="inlineStr">
        <is>
          <t>2026-08-13</t>
        </is>
      </c>
      <c r="F8" t="inlineStr">
        <is>
          <t>落盘 edgar_年度骨架_PONY.csv</t>
        </is>
      </c>
    </row>
    <row r="9">
      <c r="A9" t="n">
        <v>6</v>
      </c>
      <c r="B9" t="inlineStr">
        <is>
          <t>季度分部收入/Non-GAAP 序列</t>
        </is>
      </c>
      <c r="C9" t="inlineStr">
        <is>
          <t>业绩公告正文（html2text 转换）</t>
        </is>
      </c>
      <c r="D9" t="inlineStr">
        <is>
          <t>html_extracts/ 六份文本精读</t>
        </is>
      </c>
      <c r="E9" t="inlineStr">
        <is>
          <t>2026-08-14</t>
        </is>
      </c>
      <c r="F9" t="inlineStr">
        <is>
          <t>与年度数勾稽一致</t>
        </is>
      </c>
    </row>
    <row r="10">
      <c r="A10" t="n">
        <v>7</v>
      </c>
      <c r="B10" t="inlineStr">
        <is>
          <t>客户集中度/股权结构/审计师/风险</t>
        </is>
      </c>
      <c r="C10" t="inlineStr">
        <is>
          <t>20-F FY2025 全文检索</t>
        </is>
      </c>
      <c r="D10" t="inlineStr">
        <is>
          <t>html_extracts/20F_FY2025.txt grep+读段</t>
        </is>
      </c>
      <c r="E10" t="inlineStr">
        <is>
          <t>2026-08-14</t>
        </is>
      </c>
      <c r="F10" t="inlineStr"/>
    </row>
    <row r="11">
      <c r="A11" t="n">
        <v>8</v>
      </c>
      <c r="B11" t="inlineStr">
        <is>
          <t>股价日线（全史 427 交易日）</t>
        </is>
      </c>
      <c r="C11" t="inlineStr">
        <is>
          <t>东方财富 push2his</t>
        </is>
      </c>
      <c r="D11" t="inlineStr">
        <is>
          <t>secid=105.PONY，fqt=0/1</t>
        </is>
      </c>
      <c r="E11" t="inlineStr">
        <is>
          <t>2026-08-13</t>
        </is>
      </c>
      <c r="F11" t="inlineStr">
        <is>
          <t>px_daily_*.csv；无除权，两口径一致</t>
        </is>
      </c>
    </row>
    <row r="12">
      <c r="A12" t="n">
        <v>9</v>
      </c>
      <c r="B12" t="inlineStr">
        <is>
          <t>实时快照（价/市值/PB）</t>
        </is>
      </c>
      <c r="C12" t="inlineStr">
        <is>
          <t>东方财富 push2</t>
        </is>
      </c>
      <c r="D12" t="inlineStr">
        <is>
          <t>secid=105.PONY，f43/f116/f167 等</t>
        </is>
      </c>
      <c r="E12" t="inlineStr">
        <is>
          <t>2026-08-14</t>
        </is>
      </c>
      <c r="F12" t="inlineStr">
        <is>
          <t>px_snapshot_PONY.csv</t>
        </is>
      </c>
    </row>
    <row r="13">
      <c r="A13" t="n">
        <v>10</v>
      </c>
      <c r="B13" t="inlineStr">
        <is>
          <t>同行快照 WRD/AUR</t>
        </is>
      </c>
      <c r="C13" t="inlineStr">
        <is>
          <t>东方财富 push2</t>
        </is>
      </c>
      <c r="D13" t="inlineStr">
        <is>
          <t>secid=105.WRD / 105.AUR</t>
        </is>
      </c>
      <c r="E13" t="inlineStr">
        <is>
          <t>2026-08-14</t>
        </is>
      </c>
      <c r="F13" t="inlineStr">
        <is>
          <t>仅市值+PB；营收未取[待补]</t>
        </is>
      </c>
    </row>
    <row r="14">
      <c r="A14" t="n">
        <v>11</v>
      </c>
      <c r="B14" t="inlineStr">
        <is>
          <t>股价分位</t>
        </is>
      </c>
      <c r="C14" t="inlineStr">
        <is>
          <t>本地计算</t>
        </is>
      </c>
      <c r="D14" t="inlineStr">
        <is>
          <t>px_daily_前复权 close 序列 percentile</t>
        </is>
      </c>
      <c r="E14" t="inlineStr">
        <is>
          <t>2026-08-14</t>
        </is>
      </c>
      <c r="F14" t="inlineStr">
        <is>
          <t>现价 8.33 → 数值分位 14.8%</t>
        </is>
      </c>
    </row>
    <row r="15">
      <c r="A15" t="n">
        <v>12</v>
      </c>
      <c r="B15" t="inlineStr">
        <is>
          <t>总现金池 1,514.8M 构成</t>
        </is>
      </c>
      <c r="C15" t="inlineStr">
        <is>
          <t>Q4FY2025 业绩公告</t>
        </is>
      </c>
      <c r="D15" t="inlineStr">
        <is>
          <t>现金 293.5+短投 872.2+受限 2.2+长期理财 347</t>
        </is>
      </c>
      <c r="E15" t="inlineStr">
        <is>
          <t>2026-08-14</t>
        </is>
      </c>
      <c r="F15" t="inlineStr"/>
    </row>
    <row r="16">
      <c r="A16" t="n">
        <v>13</v>
      </c>
      <c r="B16" t="inlineStr">
        <is>
          <t>港股双重上市信息</t>
        </is>
      </c>
      <c r="C16" t="inlineStr">
        <is>
          <t>6-K（2025-10-20 补充披露 + 月报表 FF301）</t>
        </is>
      </c>
      <c r="D16" t="inlineStr">
        <is>
          <t>exhibits 内容分类时发现</t>
        </is>
      </c>
      <c r="E16" t="inlineStr">
        <is>
          <t>2026-08-13</t>
        </is>
      </c>
      <c r="F16" t="inlineStr">
        <is>
          <t>HKEX: 2026；港股行情未取[待补]</t>
        </is>
      </c>
    </row>
    <row r="18">
      <c r="A18" t="inlineStr">
        <is>
          <t>网络环境：本机死代理需 unset HTTP_PROXY 等四变量；python 用 .venv + certifi + ProxyHandler({})</t>
        </is>
      </c>
    </row>
    <row r="19">
      <c r="A19" t="inlineStr">
        <is>
          <t>未取项汇总：FY2022 分部收入、FY22/23 capex、应收坏账准备、WRD/AUR 营收、港股 2026.HK 行情、NCI 子公司身份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2026-08-14T02:53:01Z</dcterms:created>
  <dcterms:modified xmlns:dcterms="http://purl.org/dc/terms/" xmlns:xsi="http://www.w3.org/2001/XMLSchema-instance" xsi:type="dcterms:W3CDTF">2026-08-14T02:53:01Z</dcterms:modified>
</cp:coreProperties>
</file>
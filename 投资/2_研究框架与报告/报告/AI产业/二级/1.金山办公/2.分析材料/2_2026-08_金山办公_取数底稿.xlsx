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分部拆解" sheetId="2" state="visible" r:id="rId2"/>
    <sheet xmlns:r="http://schemas.openxmlformats.org/officeDocument/2006/relationships" name="2_利润表五年" sheetId="3" state="visible" r:id="rId3"/>
    <sheet xmlns:r="http://schemas.openxmlformats.org/officeDocument/2006/relationships" name="3_现金流照妖镜" sheetId="4" state="visible" r:id="rId4"/>
    <sheet xmlns:r="http://schemas.openxmlformats.org/officeDocument/2006/relationships" name="4_资产负债偿债" sheetId="5" state="visible" r:id="rId5"/>
    <sheet xmlns:r="http://schemas.openxmlformats.org/officeDocument/2006/relationships" name="5_估值对比" sheetId="6" state="visible" r:id="rId6"/>
    <sheet xmlns:r="http://schemas.openxmlformats.org/officeDocument/2006/relationships" name="5b_股价与估值" sheetId="7" state="visible" r:id="rId7"/>
    <sheet xmlns:r="http://schemas.openxmlformats.org/officeDocument/2006/relationships" name="6_取数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4" fontId="0" fillId="3" borderId="1" pivotButton="0" quotePrefix="0" xfId="0"/>
    <xf numFmtId="0" fontId="0" fillId="5" borderId="0" applyAlignment="1" pivotButton="0" quotePrefix="0" xfId="0">
      <alignment vertical="center" wrapText="1"/>
    </xf>
    <xf numFmtId="3" fontId="0" fillId="4" borderId="1" pivotButton="0" quotePrefix="0" xfId="0"/>
    <xf numFmtId="0" fontId="0" fillId="5" borderId="0" pivotButton="0" quotePrefix="0" xfId="0"/>
    <xf numFmtId="2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取数底稿模板（二级市场）—— 使用说明</t>
        </is>
      </c>
    </row>
    <row r="2">
      <c r="A2" s="2" t="inlineStr"/>
    </row>
    <row r="3">
      <c r="A3" s="1" t="inlineStr">
        <is>
          <t>一、这个文件怎么用</t>
        </is>
      </c>
    </row>
    <row r="4">
      <c r="A4" s="2" t="inlineStr">
        <is>
          <t>1. 每研究一个标的，复制本文件到 报告/ 目录，改名：YYYY-MM_标的名_取数底稿.xlsx</t>
        </is>
      </c>
    </row>
    <row r="5">
      <c r="A5" s="2" t="inlineStr">
        <is>
          <t>2. 黄色格子 = 手填原始数据（从年报抄）；灰色格子 = 公式自动计算，别碰；橙色格子 = 填你的判断</t>
        </is>
      </c>
    </row>
    <row r="6">
      <c r="A6" s="2" t="inlineStr">
        <is>
          <t>3. 铁律：每个手填数字必须同步在「6_取数日志」登记出处（报告名+页码/附注号）。查不到出处的数字 = 没有的数字</t>
        </is>
      </c>
    </row>
    <row r="7">
      <c r="A7" s="2" t="inlineStr">
        <is>
          <t>4. 单位统一：金额一律用【百万】（港股年报多为千元，抄的时候除以 1000），比率保留 1 位小数</t>
        </is>
      </c>
    </row>
    <row r="8">
      <c r="A8" s="2" t="inlineStr"/>
    </row>
    <row r="9">
      <c r="A9" s="1" t="inlineStr">
        <is>
          <t>二、各 Sheet 对应 memo 的哪一节</t>
        </is>
      </c>
    </row>
    <row r="10">
      <c r="A10" s="2" t="inlineStr">
        <is>
          <t>1_分部拆解      → memo 第 3 节「主营拆解：收入质量分层表」</t>
        </is>
      </c>
    </row>
    <row r="11">
      <c r="A11" s="2" t="inlineStr">
        <is>
          <t>2_利润表五年    → memo 第 4 节「利润成色」</t>
        </is>
      </c>
    </row>
    <row r="12">
      <c r="A12" s="2" t="inlineStr">
        <is>
          <t>3_现金流照妖镜  → memo 第 4 节两大硬指标：经营现金流/净利润 5 年比值、自由现金流 5 年加总</t>
        </is>
      </c>
    </row>
    <row r="13">
      <c r="A13" s="2" t="inlineStr">
        <is>
          <t>4_资产负债偿债  → memo 第 4 节「应收款与减值、有息负债」</t>
        </is>
      </c>
    </row>
    <row r="14">
      <c r="A14" s="2" t="inlineStr">
        <is>
          <t>5_估值对比      → memo 第 5 节「价格隐含的预期」同行横向对比</t>
        </is>
      </c>
    </row>
    <row r="15">
      <c r="A15" s="2" t="inlineStr">
        <is>
          <t>5b_股价与估值   → memo 第 5 节纵向对比：历年股价、每股指标、当前估值分位、隐含预期敏感度</t>
        </is>
      </c>
    </row>
    <row r="16">
      <c r="A16" s="2" t="inlineStr">
        <is>
          <t>6_取数日志      → 全部数字的出处登记，复查和被质疑时的护身符</t>
        </is>
      </c>
    </row>
    <row r="17">
      <c r="A17" s="2" t="inlineStr"/>
    </row>
    <row r="18">
      <c r="A18" s="1" t="inlineStr">
        <is>
          <t>三、股价数据怎么来</t>
        </is>
      </c>
    </row>
    <row r="19">
      <c r="A19" s="2" t="inlineStr">
        <is>
          <t>· 跑 skill 脚本 fetch_stock_price.py，四个子命令：snapshot（现价/市值/PB）、daily（日线）、</t>
        </is>
      </c>
    </row>
    <row r="20">
      <c r="A20" s="2" t="inlineStr">
        <is>
          <t xml:space="preserve">  annual（年度聚合）、valuation（PB/PE/股息率日度序列＋历史分位）</t>
        </is>
      </c>
    </row>
    <row r="21">
      <c r="A21" s="2" t="inlineStr">
        <is>
          <t>· 铁律：股价是港元/人民币原币，每股指标（BVPS/EPS）多为人民币。跨币必须传年末汇率，</t>
        </is>
      </c>
    </row>
    <row r="22">
      <c r="A22" s="2" t="inlineStr">
        <is>
          <t xml:space="preserve">  否则汇率波动会污染整条分位序列。港股股息本就披露为港仙，与港元股价同币，不要再乘汇率</t>
        </is>
      </c>
    </row>
    <row r="23">
      <c r="A23" s="2" t="inlineStr">
        <is>
          <t>· 汇率没有现成序列时，可从股息附注反推：同一笔股息同时披露港仙额与人民币额，两者相除即当年汇率</t>
        </is>
      </c>
    </row>
    <row r="24">
      <c r="A24" s="2" t="inlineStr"/>
    </row>
    <row r="25">
      <c r="A25" s="1" t="inlineStr">
        <is>
          <t>四、北控水务取数提示（来自信息源与取数手册）</t>
        </is>
      </c>
    </row>
    <row r="26">
      <c r="A26" s="2" t="inlineStr">
        <is>
          <t>· 分部数据看年报「分部资料」附注；特许经营权应收款可能拆在多个附注里，要加总</t>
        </is>
      </c>
    </row>
    <row r="27">
      <c r="A27" s="2" t="inlineStr">
        <is>
          <t>· 建造收入是 BOT 模式下「赚未来自己的钱」，单独一行拆出来，别和运营收入混在一起</t>
        </is>
      </c>
    </row>
    <row r="28">
      <c r="A28" s="2" t="inlineStr">
        <is>
          <t>· 借贷成本看「借贷」附注，注意区分固定/浮动利率占比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3" t="inlineStr">
        <is>
          <t>分部收入拆解（单位：百万）——先填收入，再填毛利，占比/增速自动算</t>
        </is>
      </c>
    </row>
    <row r="3">
      <c r="A3" s="4" t="inlineStr">
        <is>
          <t>分部/项目</t>
        </is>
      </c>
      <c r="B3" s="4" t="inlineStr">
        <is>
          <t>FY2021</t>
        </is>
      </c>
      <c r="C3" s="4" t="inlineStr">
        <is>
          <t>FY2022</t>
        </is>
      </c>
      <c r="D3" s="4" t="inlineStr">
        <is>
          <t>FY2023</t>
        </is>
      </c>
      <c r="E3" s="4" t="inlineStr">
        <is>
          <t>FY2024</t>
        </is>
      </c>
      <c r="F3" s="4" t="inlineStr">
        <is>
          <t>FY2025</t>
        </is>
      </c>
      <c r="G3" s="4" t="inlineStr">
        <is>
          <t>最新中报/TTM</t>
        </is>
      </c>
      <c r="H3" s="4" t="inlineStr">
        <is>
          <t>备注（口径变化必须记）</t>
        </is>
      </c>
    </row>
    <row r="4">
      <c r="A4" t="inlineStr">
        <is>
          <t>个人订阅→WPS个人业务（FY24起新口径）</t>
        </is>
      </c>
      <c r="B4" s="5" t="n">
        <v>1465.3</v>
      </c>
      <c r="C4" s="5" t="n">
        <v>2050.13</v>
      </c>
      <c r="D4" s="5" t="n">
        <v>2653.35</v>
      </c>
      <c r="E4" s="5" t="n">
        <v>3283.29</v>
      </c>
      <c r="F4" s="5" t="n">
        <v>3625.54</v>
      </c>
      <c r="G4" s="5" t="n"/>
      <c r="H4" s="5" t="n"/>
    </row>
    <row r="5">
      <c r="A5" t="inlineStr">
        <is>
          <t>机构订阅及服务→WPS365业务（FY24起新口径，不可比）</t>
        </is>
      </c>
      <c r="B5" s="5" t="n">
        <v>446.26</v>
      </c>
      <c r="C5" s="5" t="n">
        <v>691.99</v>
      </c>
      <c r="D5" s="5" t="n">
        <v>957.4299999999999</v>
      </c>
      <c r="E5" s="5" t="n">
        <v>436.5</v>
      </c>
      <c r="F5" s="5" t="n">
        <v>719.9</v>
      </c>
      <c r="G5" s="5" t="n"/>
      <c r="H5" s="5" t="n"/>
    </row>
    <row r="6">
      <c r="A6" t="inlineStr">
        <is>
          <t>机构授权→WPS软件业务（FY24起新口径）</t>
        </is>
      </c>
      <c r="B6" s="5" t="n">
        <v>962.45</v>
      </c>
      <c r="C6" s="5" t="n">
        <v>835.62</v>
      </c>
      <c r="D6" s="5" t="n">
        <v>655.15</v>
      </c>
      <c r="E6" s="5" t="n">
        <v>1267.95</v>
      </c>
      <c r="F6" s="5" t="n">
        <v>1461.13</v>
      </c>
      <c r="G6" s="5" t="n"/>
      <c r="H6" s="5" t="n"/>
    </row>
    <row r="7">
      <c r="A7" t="inlineStr">
        <is>
          <t>广告及其他→其他（FY24起新口径）</t>
        </is>
      </c>
      <c r="B7" s="5" t="n">
        <v>405.6</v>
      </c>
      <c r="C7" s="5" t="n">
        <v>306.45</v>
      </c>
      <c r="D7" s="5" t="n">
        <v>287.92</v>
      </c>
      <c r="E7" s="5" t="n">
        <v>131.72</v>
      </c>
      <c r="F7" s="5" t="n">
        <v>120.14</v>
      </c>
      <c r="G7" s="5" t="n"/>
      <c r="H7" s="5" t="n"/>
    </row>
    <row r="8">
      <c r="A8" t="inlineStr">
        <is>
          <t>—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—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3" t="inlineStr">
        <is>
          <t>收入合计</t>
        </is>
      </c>
      <c r="B10" s="6">
        <f>SUM(B4:B9)</f>
        <v/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</row>
    <row r="12">
      <c r="A12" s="3" t="inlineStr">
        <is>
          <t>收入占比（自动）</t>
        </is>
      </c>
    </row>
    <row r="13">
      <c r="A13" t="inlineStr">
        <is>
          <t>个人订阅→WPS个人业务（FY24起新口径）</t>
        </is>
      </c>
      <c r="B13" s="7">
        <f>IF(B10=0,"",B4/B10)</f>
        <v/>
      </c>
      <c r="C13" s="7">
        <f>IF(C10=0,"",C4/C10)</f>
        <v/>
      </c>
      <c r="D13" s="7">
        <f>IF(D10=0,"",D4/D10)</f>
        <v/>
      </c>
      <c r="E13" s="7">
        <f>IF(E10=0,"",E4/E10)</f>
        <v/>
      </c>
      <c r="F13" s="7">
        <f>IF(F10=0,"",F4/F10)</f>
        <v/>
      </c>
      <c r="G13" s="7">
        <f>IF(G10=0,"",G4/G10)</f>
        <v/>
      </c>
    </row>
    <row r="14">
      <c r="A14" t="inlineStr">
        <is>
          <t>机构订阅及服务→WPS365业务（FY24起新口径，不可比）</t>
        </is>
      </c>
      <c r="B14" s="7">
        <f>IF(B10=0,"",B5/B10)</f>
        <v/>
      </c>
      <c r="C14" s="7">
        <f>IF(C10=0,"",C5/C10)</f>
        <v/>
      </c>
      <c r="D14" s="7">
        <f>IF(D10=0,"",D5/D10)</f>
        <v/>
      </c>
      <c r="E14" s="7">
        <f>IF(E10=0,"",E5/E10)</f>
        <v/>
      </c>
      <c r="F14" s="7">
        <f>IF(F10=0,"",F5/F10)</f>
        <v/>
      </c>
      <c r="G14" s="7">
        <f>IF(G10=0,"",G5/G10)</f>
        <v/>
      </c>
    </row>
    <row r="15">
      <c r="A15" t="inlineStr">
        <is>
          <t>机构授权→WPS软件业务（FY24起新口径）</t>
        </is>
      </c>
      <c r="B15" s="7">
        <f>IF(B10=0,"",B6/B10)</f>
        <v/>
      </c>
      <c r="C15" s="7">
        <f>IF(C10=0,"",C6/C10)</f>
        <v/>
      </c>
      <c r="D15" s="7">
        <f>IF(D10=0,"",D6/D10)</f>
        <v/>
      </c>
      <c r="E15" s="7">
        <f>IF(E10=0,"",E6/E10)</f>
        <v/>
      </c>
      <c r="F15" s="7">
        <f>IF(F10=0,"",F6/F10)</f>
        <v/>
      </c>
      <c r="G15" s="7">
        <f>IF(G10=0,"",G6/G10)</f>
        <v/>
      </c>
    </row>
    <row r="16">
      <c r="A16" t="inlineStr">
        <is>
          <t>广告及其他→其他（FY24起新口径）</t>
        </is>
      </c>
      <c r="B16" s="7">
        <f>IF(B10=0,"",B7/B10)</f>
        <v/>
      </c>
      <c r="C16" s="7">
        <f>IF(C10=0,"",C7/C10)</f>
        <v/>
      </c>
      <c r="D16" s="7">
        <f>IF(D10=0,"",D7/D10)</f>
        <v/>
      </c>
      <c r="E16" s="7">
        <f>IF(E10=0,"",E7/E10)</f>
        <v/>
      </c>
      <c r="F16" s="7">
        <f>IF(F10=0,"",F7/F10)</f>
        <v/>
      </c>
      <c r="G16" s="7">
        <f>IF(G10=0,"",G7/G10)</f>
        <v/>
      </c>
    </row>
    <row r="17">
      <c r="A17" t="inlineStr">
        <is>
          <t>—</t>
        </is>
      </c>
      <c r="B17" s="7">
        <f>IF(B10=0,"",B8/B10)</f>
        <v/>
      </c>
      <c r="C17" s="7">
        <f>IF(C10=0,"",C8/C10)</f>
        <v/>
      </c>
      <c r="D17" s="7">
        <f>IF(D10=0,"",D8/D10)</f>
        <v/>
      </c>
      <c r="E17" s="7">
        <f>IF(E10=0,"",E8/E10)</f>
        <v/>
      </c>
      <c r="F17" s="7">
        <f>IF(F10=0,"",F8/F10)</f>
        <v/>
      </c>
      <c r="G17" s="7">
        <f>IF(G10=0,"",G8/G10)</f>
        <v/>
      </c>
    </row>
    <row r="18">
      <c r="A18" t="inlineStr">
        <is>
          <t>—</t>
        </is>
      </c>
      <c r="B18" s="7">
        <f>IF(B10=0,"",B9/B10)</f>
        <v/>
      </c>
      <c r="C18" s="7">
        <f>IF(C10=0,"",C9/C10)</f>
        <v/>
      </c>
      <c r="D18" s="7">
        <f>IF(D10=0,"",D9/D10)</f>
        <v/>
      </c>
      <c r="E18" s="7">
        <f>IF(E10=0,"",E9/E10)</f>
        <v/>
      </c>
      <c r="F18" s="7">
        <f>IF(F10=0,"",F9/F10)</f>
        <v/>
      </c>
      <c r="G18" s="7">
        <f>IF(G10=0,"",G9/G10)</f>
        <v/>
      </c>
    </row>
    <row r="20">
      <c r="A20" s="3" t="inlineStr">
        <is>
          <t>收入同比增速（自动）</t>
        </is>
      </c>
    </row>
    <row r="21">
      <c r="A21" t="inlineStr">
        <is>
          <t>个人订阅→WPS个人业务（FY24起新口径）</t>
        </is>
      </c>
      <c r="C21" s="7">
        <f>IF(OR(B4=0,B4=""),"",C4/B4-1)</f>
        <v/>
      </c>
      <c r="D21" s="7">
        <f>IF(OR(C4=0,C4=""),"",D4/C4-1)</f>
        <v/>
      </c>
      <c r="E21" s="7">
        <f>IF(OR(D4=0,D4=""),"",E4/D4-1)</f>
        <v/>
      </c>
      <c r="F21" s="7">
        <f>IF(OR(E4=0,E4=""),"",F4/E4-1)</f>
        <v/>
      </c>
    </row>
    <row r="22">
      <c r="A22" t="inlineStr">
        <is>
          <t>机构订阅及服务→WPS365业务（FY24起新口径，不可比）</t>
        </is>
      </c>
      <c r="C22" s="7">
        <f>IF(OR(B5=0,B5=""),"",C5/B5-1)</f>
        <v/>
      </c>
      <c r="D22" s="7">
        <f>IF(OR(C5=0,C5=""),"",D5/C5-1)</f>
        <v/>
      </c>
      <c r="E22" s="7">
        <f>IF(OR(D5=0,D5=""),"",E5/D5-1)</f>
        <v/>
      </c>
      <c r="F22" s="7">
        <f>IF(OR(E5=0,E5=""),"",F5/E5-1)</f>
        <v/>
      </c>
    </row>
    <row r="23">
      <c r="A23" t="inlineStr">
        <is>
          <t>机构授权→WPS软件业务（FY24起新口径）</t>
        </is>
      </c>
      <c r="C23" s="7">
        <f>IF(OR(B6=0,B6=""),"",C6/B6-1)</f>
        <v/>
      </c>
      <c r="D23" s="7">
        <f>IF(OR(C6=0,C6=""),"",D6/C6-1)</f>
        <v/>
      </c>
      <c r="E23" s="7">
        <f>IF(OR(D6=0,D6=""),"",E6/D6-1)</f>
        <v/>
      </c>
      <c r="F23" s="7">
        <f>IF(OR(E6=0,E6=""),"",F6/E6-1)</f>
        <v/>
      </c>
    </row>
    <row r="24">
      <c r="A24" t="inlineStr">
        <is>
          <t>广告及其他→其他（FY24起新口径）</t>
        </is>
      </c>
      <c r="C24" s="7">
        <f>IF(OR(B7=0,B7=""),"",C7/B7-1)</f>
        <v/>
      </c>
      <c r="D24" s="7">
        <f>IF(OR(C7=0,C7=""),"",D7/C7-1)</f>
        <v/>
      </c>
      <c r="E24" s="7">
        <f>IF(OR(D7=0,D7=""),"",E7/D7-1)</f>
        <v/>
      </c>
      <c r="F24" s="7">
        <f>IF(OR(E7=0,E7=""),"",F7/E7-1)</f>
        <v/>
      </c>
    </row>
    <row r="25">
      <c r="A25" t="inlineStr">
        <is>
          <t>—</t>
        </is>
      </c>
      <c r="C25" s="7">
        <f>IF(OR(B8=0,B8=""),"",C8/B8-1)</f>
        <v/>
      </c>
      <c r="D25" s="7">
        <f>IF(OR(C8=0,C8=""),"",D8/C8-1)</f>
        <v/>
      </c>
      <c r="E25" s="7">
        <f>IF(OR(D8=0,D8=""),"",E8/D8-1)</f>
        <v/>
      </c>
      <c r="F25" s="7">
        <f>IF(OR(E8=0,E8=""),"",F8/E8-1)</f>
        <v/>
      </c>
    </row>
    <row r="26">
      <c r="A26" t="inlineStr">
        <is>
          <t>—</t>
        </is>
      </c>
      <c r="C26" s="7">
        <f>IF(OR(B9=0,B9=""),"",C9/B9-1)</f>
        <v/>
      </c>
      <c r="D26" s="7">
        <f>IF(OR(C9=0,C9=""),"",D9/C9-1)</f>
        <v/>
      </c>
      <c r="E26" s="7">
        <f>IF(OR(D9=0,D9=""),"",E9/D9-1)</f>
        <v/>
      </c>
      <c r="F26" s="7">
        <f>IF(OR(E9=0,E9=""),"",F9/E9-1)</f>
        <v/>
      </c>
    </row>
    <row r="28">
      <c r="A28" s="3" t="inlineStr">
        <is>
          <t>分部毛利率（年报有披露就填，没有就填分部业绩率）</t>
        </is>
      </c>
    </row>
    <row r="29">
      <c r="A29" t="inlineStr">
        <is>
          <t>个人订阅→WPS个人业务（FY24起新口径）</t>
        </is>
      </c>
      <c r="B29" s="8" t="n">
        <v>0.8279</v>
      </c>
      <c r="C29" s="8" t="n">
        <v>0.8075</v>
      </c>
      <c r="D29" s="8" t="n">
        <v>0.8149</v>
      </c>
      <c r="E29" s="8" t="n">
        <v>0.8119</v>
      </c>
      <c r="F29" s="8" t="n">
        <v>0.8096</v>
      </c>
      <c r="G29" s="8" t="n"/>
    </row>
    <row r="30">
      <c r="A30" t="inlineStr">
        <is>
          <t>机构订阅及服务→WPS365业务（FY24起新口径，不可比）</t>
        </is>
      </c>
      <c r="B30" s="8" t="n">
        <v>0.9487</v>
      </c>
      <c r="C30" s="8" t="n">
        <v>0.9339</v>
      </c>
      <c r="D30" s="8" t="n">
        <v>0.927</v>
      </c>
      <c r="E30" s="8" t="n">
        <v>0.9116</v>
      </c>
      <c r="F30" s="8" t="n">
        <v>0.9149</v>
      </c>
      <c r="G30" s="8" t="n"/>
    </row>
    <row r="31">
      <c r="A31" t="inlineStr">
        <is>
          <t>机构授权→WPS软件业务（FY24起新口径）</t>
        </is>
      </c>
      <c r="B31" s="8" t="n">
        <v>0.9604</v>
      </c>
      <c r="C31" s="8" t="n">
        <v>0.9343</v>
      </c>
      <c r="D31" s="8" t="n">
        <v>0.9312</v>
      </c>
      <c r="E31" s="8" t="n">
        <v>0.9272</v>
      </c>
      <c r="F31" s="8" t="n">
        <v>0.9502</v>
      </c>
      <c r="G31" s="8" t="n"/>
    </row>
    <row r="32">
      <c r="A32" t="inlineStr">
        <is>
          <t>广告及其他→其他（FY24起新口径）</t>
        </is>
      </c>
      <c r="B32" s="8" t="n">
        <v>0.7146</v>
      </c>
      <c r="C32" s="8" t="n">
        <v>0.7161999999999999</v>
      </c>
      <c r="D32" s="8" t="n">
        <v>0.7818000000000001</v>
      </c>
      <c r="E32" s="8" t="n">
        <v>0.913</v>
      </c>
      <c r="F32" s="8" t="n">
        <v>0.9394</v>
      </c>
      <c r="G32" s="8" t="n"/>
    </row>
    <row r="33">
      <c r="A33" t="inlineStr">
        <is>
          <t>—</t>
        </is>
      </c>
      <c r="B33" s="8" t="n"/>
      <c r="C33" s="8" t="n"/>
      <c r="D33" s="8" t="n"/>
      <c r="E33" s="8" t="n"/>
      <c r="F33" s="8" t="n"/>
      <c r="G33" s="8" t="n"/>
    </row>
    <row r="34">
      <c r="A34" t="inlineStr">
        <is>
          <t>—</t>
        </is>
      </c>
      <c r="B34" s="8" t="n"/>
      <c r="C34" s="8" t="n"/>
      <c r="D34" s="8" t="n"/>
      <c r="E34" s="8" t="n"/>
      <c r="F34" s="8" t="n"/>
      <c r="G34" s="8" t="n"/>
    </row>
    <row r="36">
      <c r="A36" s="9" t="inlineStr">
        <is>
          <t>【本表判断】高质量收入（运营类）占比在［上升/下降］；建造收入依赖度［高/低/在退坡］→ 填 memo 第 3 节</t>
        </is>
      </c>
    </row>
  </sheetData>
  <mergeCells count="1">
    <mergeCell ref="A36:H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营业收入</t>
        </is>
      </c>
      <c r="B2" s="5" t="n">
        <v>3280</v>
      </c>
      <c r="C2" s="5" t="n">
        <v>3885</v>
      </c>
      <c r="D2" s="5" t="n">
        <v>4556</v>
      </c>
      <c r="E2" s="5" t="n">
        <v>5121</v>
      </c>
      <c r="F2" s="5" t="n">
        <v>5929</v>
      </c>
      <c r="G2" s="5" t="n"/>
    </row>
    <row r="3">
      <c r="A3" t="inlineStr">
        <is>
          <t>毛利</t>
        </is>
      </c>
      <c r="B3" s="5" t="n">
        <v>2851</v>
      </c>
      <c r="C3" s="5" t="n">
        <v>3302</v>
      </c>
      <c r="D3" s="5" t="n">
        <v>3886</v>
      </c>
      <c r="E3" s="5" t="n">
        <v>4360</v>
      </c>
      <c r="F3" s="5" t="n">
        <v>5096</v>
      </c>
      <c r="G3" s="5" t="n"/>
    </row>
    <row r="4">
      <c r="A4" t="inlineStr">
        <is>
          <t>销售及行政开支</t>
        </is>
      </c>
      <c r="B4" s="5" t="n">
        <v>1021</v>
      </c>
      <c r="C4" s="5" t="n">
        <v>1210</v>
      </c>
      <c r="D4" s="5" t="n">
        <v>1411</v>
      </c>
      <c r="E4" s="5" t="n">
        <v>1394</v>
      </c>
      <c r="F4" s="5" t="n">
        <v>1614</v>
      </c>
      <c r="G4" s="5" t="n"/>
    </row>
    <row r="5">
      <c r="A5" t="inlineStr">
        <is>
          <t>财务费用（借贷成本）</t>
        </is>
      </c>
      <c r="B5" s="5" t="n">
        <v>-17</v>
      </c>
      <c r="C5" s="5" t="n">
        <v>-13</v>
      </c>
      <c r="D5" s="5" t="n">
        <v>-95</v>
      </c>
      <c r="E5" s="5" t="n">
        <v>-16</v>
      </c>
      <c r="F5" s="5" t="n">
        <v>0</v>
      </c>
      <c r="G5" s="5" t="n"/>
    </row>
    <row r="6">
      <c r="A6" t="inlineStr">
        <is>
          <t>应占合联营损益</t>
        </is>
      </c>
      <c r="B6" s="5" t="n">
        <v>-15</v>
      </c>
      <c r="C6" s="5" t="n">
        <v>73</v>
      </c>
      <c r="D6" s="5" t="n">
        <v>34</v>
      </c>
      <c r="E6" s="5" t="n">
        <v>79</v>
      </c>
      <c r="F6" s="5" t="n">
        <v>166</v>
      </c>
      <c r="G6" s="5" t="n"/>
    </row>
    <row r="7">
      <c r="A7" t="inlineStr">
        <is>
          <t>除税前溢利</t>
        </is>
      </c>
      <c r="B7" s="5" t="n">
        <v>1119</v>
      </c>
      <c r="C7" s="5" t="n">
        <v>1198</v>
      </c>
      <c r="D7" s="5" t="n">
        <v>1390</v>
      </c>
      <c r="E7" s="5" t="n">
        <v>1750</v>
      </c>
      <c r="F7" s="5" t="n">
        <v>1953</v>
      </c>
      <c r="G7" s="5" t="n"/>
    </row>
    <row r="8">
      <c r="A8" t="inlineStr">
        <is>
          <t>净利润</t>
        </is>
      </c>
      <c r="B8" s="5" t="n">
        <v>1069</v>
      </c>
      <c r="C8" s="5" t="n">
        <v>1131</v>
      </c>
      <c r="D8" s="5" t="n">
        <v>1314</v>
      </c>
      <c r="E8" s="5" t="n">
        <v>1655</v>
      </c>
      <c r="F8" s="5" t="n">
        <v>1822</v>
      </c>
      <c r="G8" s="5" t="n"/>
    </row>
    <row r="9">
      <c r="A9" t="inlineStr">
        <is>
          <t>归母净利润</t>
        </is>
      </c>
      <c r="B9" s="5" t="n">
        <v>1041</v>
      </c>
      <c r="C9" s="5" t="n">
        <v>1118</v>
      </c>
      <c r="D9" s="5" t="n">
        <v>1318</v>
      </c>
      <c r="E9" s="5" t="n">
        <v>1645</v>
      </c>
      <c r="F9" s="5" t="n">
        <v>1836</v>
      </c>
      <c r="G9" s="5" t="n"/>
    </row>
    <row r="10">
      <c r="A10" t="inlineStr">
        <is>
          <t>非经常项目（出售收益/公允值变动/一次性减值）</t>
        </is>
      </c>
      <c r="B10" s="5" t="n">
        <v>201</v>
      </c>
      <c r="C10" s="5" t="n">
        <v>179</v>
      </c>
      <c r="D10" s="5" t="n">
        <v>56</v>
      </c>
      <c r="E10" s="5" t="n">
        <v>89</v>
      </c>
      <c r="F10" s="5" t="n">
        <v>33</v>
      </c>
      <c r="G10" s="5" t="n"/>
    </row>
    <row r="11">
      <c r="A11" t="inlineStr">
        <is>
          <t>毛利率（自动）</t>
        </is>
      </c>
      <c r="B11" s="7">
        <f>IF(B2=0,"",B3/B2)</f>
        <v/>
      </c>
      <c r="C11" s="7">
        <f>IF(C2=0,"",C3/C2)</f>
        <v/>
      </c>
      <c r="D11" s="7">
        <f>IF(D2=0,"",D3/D2)</f>
        <v/>
      </c>
      <c r="E11" s="7">
        <f>IF(E2=0,"",E3/E2)</f>
        <v/>
      </c>
      <c r="F11" s="7">
        <f>IF(F2=0,"",F3/F2)</f>
        <v/>
      </c>
      <c r="G11" s="7">
        <f>IF(G2=0,"",G3/G2)</f>
        <v/>
      </c>
    </row>
    <row r="12">
      <c r="A12" t="inlineStr">
        <is>
          <t>归母净利率（自动）</t>
        </is>
      </c>
      <c r="B12" s="7">
        <f>IF(B2=0,"",B9/B2)</f>
        <v/>
      </c>
      <c r="C12" s="7">
        <f>IF(C2=0,"",C9/C2)</f>
        <v/>
      </c>
      <c r="D12" s="7">
        <f>IF(D2=0,"",D9/D2)</f>
        <v/>
      </c>
      <c r="E12" s="7">
        <f>IF(E2=0,"",E9/E2)</f>
        <v/>
      </c>
      <c r="F12" s="7">
        <f>IF(F2=0,"",F9/F2)</f>
        <v/>
      </c>
      <c r="G12" s="7">
        <f>IF(G2=0,"",G9/G2)</f>
        <v/>
      </c>
    </row>
    <row r="13">
      <c r="A13" t="inlineStr">
        <is>
          <t>扣非归母净利润（自动=归母-非经常）</t>
        </is>
      </c>
      <c r="B13" s="10">
        <f>B9-B10</f>
        <v/>
      </c>
      <c r="C13" s="10">
        <f>C9-C10</f>
        <v/>
      </c>
      <c r="D13" s="10">
        <f>D9-D10</f>
        <v/>
      </c>
      <c r="E13" s="10">
        <f>E9-E10</f>
        <v/>
      </c>
      <c r="F13" s="10">
        <f>F9-F10</f>
        <v/>
      </c>
      <c r="G13" s="10">
        <f>G9-G10</f>
        <v/>
      </c>
    </row>
    <row r="15">
      <c r="A15" s="11" t="inlineStr">
        <is>
          <t>【本表判断】利润［真/有水分］，水分主要来自 ____ → 填 memo 第 4 节</t>
        </is>
      </c>
    </row>
  </sheetData>
  <mergeCells count="1">
    <mergeCell ref="A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5年合计(自动)</t>
        </is>
      </c>
      <c r="I1" s="4" t="inlineStr">
        <is>
          <t>备注</t>
        </is>
      </c>
    </row>
    <row r="2">
      <c r="A2" t="inlineStr">
        <is>
          <t>经营活动现金流净额</t>
        </is>
      </c>
      <c r="B2" s="5" t="n">
        <v>1864</v>
      </c>
      <c r="C2" s="5" t="n">
        <v>1603</v>
      </c>
      <c r="D2" s="5" t="n">
        <v>2058</v>
      </c>
      <c r="E2" s="5" t="n">
        <v>2196</v>
      </c>
      <c r="F2" s="5" t="n">
        <v>2502</v>
      </c>
      <c r="G2" s="5" t="n"/>
      <c r="H2" s="6">
        <f>SUM(B2:F2)</f>
        <v/>
      </c>
    </row>
    <row r="3">
      <c r="A3" t="inlineStr">
        <is>
          <t>净利润（从Sheet2带出也行，手填）</t>
        </is>
      </c>
      <c r="B3" s="5" t="n">
        <v>1069</v>
      </c>
      <c r="C3" s="5" t="n">
        <v>1131</v>
      </c>
      <c r="D3" s="5" t="n">
        <v>1314</v>
      </c>
      <c r="E3" s="5" t="n">
        <v>1655</v>
      </c>
      <c r="F3" s="5" t="n">
        <v>1822</v>
      </c>
      <c r="G3" s="5" t="n"/>
      <c r="H3" s="6">
        <f>SUM(B3:F3)</f>
        <v/>
      </c>
    </row>
    <row r="4">
      <c r="A4" t="inlineStr">
        <is>
          <t>购建固定/无形资产支出（资本开支，填负数）</t>
        </is>
      </c>
      <c r="B4" s="5" t="n">
        <v>-149</v>
      </c>
      <c r="C4" s="5" t="n">
        <v>-176</v>
      </c>
      <c r="D4" s="5" t="n">
        <v>-166</v>
      </c>
      <c r="E4" s="5" t="n">
        <v>-175</v>
      </c>
      <c r="F4" s="5" t="n">
        <v>-98</v>
      </c>
      <c r="G4" s="5" t="n"/>
      <c r="H4" s="6">
        <f>SUM(B4:F4)</f>
        <v/>
      </c>
    </row>
    <row r="5">
      <c r="A5" t="inlineStr">
        <is>
          <t>投资活动现金流净额</t>
        </is>
      </c>
      <c r="B5" s="5" t="n">
        <v>-1364</v>
      </c>
      <c r="C5" s="5" t="n">
        <v>4502</v>
      </c>
      <c r="D5" s="5" t="n">
        <v>-5210</v>
      </c>
      <c r="E5" s="5" t="n">
        <v>-4274</v>
      </c>
      <c r="F5" s="5" t="n">
        <v>-1967</v>
      </c>
      <c r="G5" s="5" t="n"/>
      <c r="H5" s="6">
        <f>SUM(B5:F5)</f>
        <v/>
      </c>
    </row>
    <row r="6">
      <c r="A6" t="inlineStr">
        <is>
          <t>筹资活动现金流净额</t>
        </is>
      </c>
      <c r="B6" s="5" t="n">
        <v>-247</v>
      </c>
      <c r="C6" s="5" t="n">
        <v>-354</v>
      </c>
      <c r="D6" s="5" t="n">
        <v>-385</v>
      </c>
      <c r="E6" s="5" t="n">
        <v>-501</v>
      </c>
      <c r="F6" s="5" t="n">
        <v>-735</v>
      </c>
      <c r="G6" s="5" t="n"/>
      <c r="H6" s="6">
        <f>SUM(B6:F6)</f>
        <v/>
      </c>
    </row>
    <row r="7">
      <c r="A7" t="inlineStr">
        <is>
          <t>已派股息（填负数）</t>
        </is>
      </c>
      <c r="B7" s="5" t="n">
        <v>-277</v>
      </c>
      <c r="C7" s="5" t="n">
        <v>-323</v>
      </c>
      <c r="D7" s="5" t="n">
        <v>-337</v>
      </c>
      <c r="E7" s="5" t="n">
        <v>-406</v>
      </c>
      <c r="F7" s="5" t="n">
        <v>-482</v>
      </c>
      <c r="G7" s="5" t="n"/>
      <c r="H7" s="6">
        <f>SUM(B7:F7)</f>
        <v/>
      </c>
    </row>
    <row r="8">
      <c r="A8" t="inlineStr">
        <is>
          <t>期末现金及等价物</t>
        </is>
      </c>
      <c r="B8" s="5" t="n">
        <v>1251</v>
      </c>
      <c r="C8" s="5" t="n">
        <v>7013</v>
      </c>
      <c r="D8" s="5" t="n">
        <v>3474</v>
      </c>
      <c r="E8" s="5" t="n">
        <v>895</v>
      </c>
      <c r="F8" s="5" t="n">
        <v>691</v>
      </c>
      <c r="G8" s="5" t="n"/>
      <c r="H8" s="6">
        <f>SUM(B8:F8)</f>
        <v/>
      </c>
    </row>
    <row r="9">
      <c r="A9" s="3" t="inlineStr">
        <is>
          <t>经营现金流/净利润（自动）★</t>
        </is>
      </c>
      <c r="B9" s="12">
        <f>IF(OR(B3=0,B3=""),"",B2/B3)</f>
        <v/>
      </c>
      <c r="C9" s="12">
        <f>IF(OR(C3=0,C3=""),"",C2/C3)</f>
        <v/>
      </c>
      <c r="D9" s="12">
        <f>IF(OR(D3=0,D3=""),"",D2/D3)</f>
        <v/>
      </c>
      <c r="E9" s="12">
        <f>IF(OR(E3=0,E3=""),"",E2/E3)</f>
        <v/>
      </c>
      <c r="F9" s="12">
        <f>IF(OR(F3=0,F3=""),"",F2/F3)</f>
        <v/>
      </c>
      <c r="G9" s="12">
        <f>IF(OR(G3=0,G3=""),"",G2/G3)</f>
        <v/>
      </c>
      <c r="H9" s="12">
        <f>IF(H3=0,"",H2/H3)</f>
        <v/>
      </c>
      <c r="I9" t="inlineStr">
        <is>
          <t>5年比值 &lt;0.8 = 利润含水</t>
        </is>
      </c>
    </row>
    <row r="10">
      <c r="A10" s="3" t="inlineStr">
        <is>
          <t>自由现金流 = 经营现金流 + 资本开支（自动）★</t>
        </is>
      </c>
      <c r="B10" s="6">
        <f>B2+B4</f>
        <v/>
      </c>
      <c r="C10" s="6">
        <f>C2+C4</f>
        <v/>
      </c>
      <c r="D10" s="6">
        <f>D2+D4</f>
        <v/>
      </c>
      <c r="E10" s="6">
        <f>E2+E4</f>
        <v/>
      </c>
      <c r="F10" s="6">
        <f>F2+F4</f>
        <v/>
      </c>
      <c r="G10" s="6">
        <f>G2+G4</f>
        <v/>
      </c>
      <c r="H10" s="6">
        <f>H2+H4</f>
        <v/>
      </c>
      <c r="I10" t="inlineStr">
        <is>
          <t>5年加总为负 = 一直在烧钱，分红靠借</t>
        </is>
      </c>
    </row>
    <row r="12">
      <c r="A12" s="11" t="inlineStr">
        <is>
          <t>【本表判断】现金［够/紧张］；分红资金来源是［经营现金流/借新还旧/卖资产］→ 填 memo 第 4 节</t>
        </is>
      </c>
    </row>
  </sheetData>
  <mergeCells count="1"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总资产</t>
        </is>
      </c>
      <c r="B2" s="5" t="n">
        <v>10426</v>
      </c>
      <c r="C2" s="5" t="n">
        <v>12058</v>
      </c>
      <c r="D2" s="5" t="n">
        <v>13974</v>
      </c>
      <c r="E2" s="5" t="n">
        <v>15913</v>
      </c>
      <c r="F2" s="5" t="n">
        <v>18156</v>
      </c>
      <c r="G2" s="5" t="n"/>
    </row>
    <row r="3">
      <c r="A3" t="inlineStr">
        <is>
          <t>净资产（归母权益）</t>
        </is>
      </c>
      <c r="B3" s="5" t="n">
        <v>7720</v>
      </c>
      <c r="C3" s="5" t="n">
        <v>8724</v>
      </c>
      <c r="D3" s="5" t="n">
        <v>9949</v>
      </c>
      <c r="E3" s="5" t="n">
        <v>11356</v>
      </c>
      <c r="F3" s="5" t="n">
        <v>12853</v>
      </c>
      <c r="G3" s="5" t="n"/>
    </row>
    <row r="4">
      <c r="A4" t="inlineStr">
        <is>
          <t>货币资金</t>
        </is>
      </c>
      <c r="B4" s="5" t="n">
        <v>1254</v>
      </c>
      <c r="C4" s="5" t="n">
        <v>7015</v>
      </c>
      <c r="D4" s="5" t="n">
        <v>3478</v>
      </c>
      <c r="E4" s="5" t="n">
        <v>898</v>
      </c>
      <c r="F4" s="5" t="n">
        <v>694</v>
      </c>
      <c r="G4" s="5" t="n"/>
    </row>
    <row r="5">
      <c r="A5" t="inlineStr">
        <is>
          <t>短期借贷（一年内到期）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/>
    </row>
    <row r="6">
      <c r="A6" t="inlineStr">
        <is>
          <t>长期借贷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/>
    </row>
    <row r="7">
      <c r="A7" t="inlineStr">
        <is>
          <t>永续证券（如有，实质是债）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/>
    </row>
    <row r="8">
      <c r="A8" t="inlineStr">
        <is>
          <t>贸易应收款</t>
        </is>
      </c>
      <c r="B8" s="5" t="n">
        <v>415</v>
      </c>
      <c r="C8" s="5" t="n">
        <v>500</v>
      </c>
      <c r="D8" s="5" t="n">
        <v>569</v>
      </c>
      <c r="E8" s="5" t="n">
        <v>510</v>
      </c>
      <c r="F8" s="5" t="n">
        <v>641</v>
      </c>
      <c r="G8" s="5" t="n"/>
    </row>
    <row r="9">
      <c r="A9" t="inlineStr">
        <is>
          <t>合同负债（预收订阅款，越大越好）★</t>
        </is>
      </c>
      <c r="B9" s="5" t="n">
        <v>1421</v>
      </c>
      <c r="C9" s="5" t="n">
        <v>1731</v>
      </c>
      <c r="D9" s="5" t="n">
        <v>1892</v>
      </c>
      <c r="E9" s="5" t="n">
        <v>2136</v>
      </c>
      <c r="F9" s="5" t="n">
        <v>2599</v>
      </c>
      <c r="G9" s="5" t="n"/>
    </row>
    <row r="10">
      <c r="A10" t="inlineStr">
        <is>
          <t>应收款减值拨备</t>
        </is>
      </c>
      <c r="B10" s="5" t="n"/>
      <c r="C10" s="5" t="n"/>
      <c r="D10" s="5" t="n"/>
      <c r="E10" s="5" t="n"/>
      <c r="F10" s="5" t="n"/>
      <c r="G10" s="5" t="n"/>
    </row>
    <row r="11">
      <c r="A11" t="inlineStr">
        <is>
          <t>平均融资成本 %（借贷附注）</t>
        </is>
      </c>
      <c r="B11" s="5" t="n"/>
      <c r="C11" s="5" t="n"/>
      <c r="D11" s="5" t="n"/>
      <c r="E11" s="5" t="n"/>
      <c r="F11" s="5" t="n"/>
      <c r="G11" s="5" t="n"/>
    </row>
    <row r="12">
      <c r="A12" t="inlineStr">
        <is>
          <t>有息负债合计（自动）</t>
        </is>
      </c>
      <c r="B12" s="6">
        <f>B5+B6+B7</f>
        <v/>
      </c>
      <c r="C12" s="6">
        <f>C5+C6+C7</f>
        <v/>
      </c>
      <c r="D12" s="6">
        <f>D5+D6+D7</f>
        <v/>
      </c>
      <c r="E12" s="6">
        <f>E5+E6+E7</f>
        <v/>
      </c>
      <c r="F12" s="6">
        <f>F5+F6+F7</f>
        <v/>
      </c>
      <c r="G12" s="6">
        <f>G5+G6+G7</f>
        <v/>
      </c>
    </row>
    <row r="13">
      <c r="A13" t="inlineStr">
        <is>
          <t>净负债 = 有息负债-货币资金（自动）</t>
        </is>
      </c>
      <c r="B13" s="6">
        <f>B5+B6+B7-B4</f>
        <v/>
      </c>
      <c r="C13" s="6">
        <f>C5+C6+C7-C4</f>
        <v/>
      </c>
      <c r="D13" s="6">
        <f>D5+D6+D7-D4</f>
        <v/>
      </c>
      <c r="E13" s="6">
        <f>E5+E6+E7-E4</f>
        <v/>
      </c>
      <c r="F13" s="6">
        <f>F5+F6+F7-F4</f>
        <v/>
      </c>
      <c r="G13" s="6">
        <f>G5+G6+G7-G4</f>
        <v/>
      </c>
    </row>
    <row r="14">
      <c r="A14" t="inlineStr">
        <is>
          <t>净负债/净资产（自动）</t>
        </is>
      </c>
      <c r="B14" s="7">
        <f>IF(B3=0,"",(B5+B6+B7-B4)/B3)</f>
        <v/>
      </c>
      <c r="C14" s="7">
        <f>IF(C3=0,"",(C5+C6+C7-C4)/C3)</f>
        <v/>
      </c>
      <c r="D14" s="7">
        <f>IF(D3=0,"",(D5+D6+D7-D4)/D3)</f>
        <v/>
      </c>
      <c r="E14" s="7">
        <f>IF(E3=0,"",(E5+E6+E7-E4)/E3)</f>
        <v/>
      </c>
      <c r="F14" s="7">
        <f>IF(F3=0,"",(F5+F6+F7-F4)/F3)</f>
        <v/>
      </c>
      <c r="G14" s="7">
        <f>IF(G3=0,"",(G5+G6+G7-G4)/G3)</f>
        <v/>
      </c>
    </row>
    <row r="15">
      <c r="A15" t="inlineStr">
        <is>
          <t>两类应收合计占总资产（自动）★</t>
        </is>
      </c>
      <c r="B15" s="7">
        <f>IF(B2=0,"",(B8+B9)/B2)</f>
        <v/>
      </c>
      <c r="C15" s="7">
        <f>IF(C2=0,"",(C8+C9)/C2)</f>
        <v/>
      </c>
      <c r="D15" s="7">
        <f>IF(D2=0,"",(D8+D9)/D2)</f>
        <v/>
      </c>
      <c r="E15" s="7">
        <f>IF(E2=0,"",(E8+E9)/E2)</f>
        <v/>
      </c>
      <c r="F15" s="7">
        <f>IF(F2=0,"",(F8+F9)/F2)</f>
        <v/>
      </c>
      <c r="G15" s="7">
        <f>IF(G2=0,"",(G8+G9)/G2)</f>
        <v/>
      </c>
    </row>
    <row r="17">
      <c r="A17" s="11" t="inlineStr">
        <is>
          <t>【本表判断】债务［安全/危险］；应收占比趋势［改善/恶化］；ROIC vs 融资成本谁高 → 填 memo 第 4 节</t>
        </is>
      </c>
    </row>
  </sheetData>
  <mergeCells count="1"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>
      <c r="A1" s="4" t="inlineStr">
        <is>
          <t>公司</t>
        </is>
      </c>
      <c r="B1" s="4" t="inlineStr">
        <is>
          <t>代码</t>
        </is>
      </c>
      <c r="C1" s="4" t="inlineStr">
        <is>
          <t>市值(亿)</t>
        </is>
      </c>
      <c r="D1" s="4" t="inlineStr">
        <is>
          <t>PE(TTM)</t>
        </is>
      </c>
      <c r="E1" s="4" t="inlineStr">
        <is>
          <t>PB</t>
        </is>
      </c>
      <c r="F1" s="4" t="inlineStr">
        <is>
          <t>股息率</t>
        </is>
      </c>
      <c r="G1" s="4" t="inlineStr">
        <is>
          <t>ROE%</t>
        </is>
      </c>
      <c r="H1" s="4" t="inlineStr">
        <is>
          <t>ROE÷PB★</t>
        </is>
      </c>
      <c r="I1" s="4" t="inlineStr">
        <is>
          <t>归母净利(亿)</t>
        </is>
      </c>
      <c r="J1" s="4" t="inlineStr">
        <is>
          <t>经营现金流(亿)</t>
        </is>
      </c>
      <c r="K1" s="4" t="inlineStr">
        <is>
          <t>一句话：它比本标的好/差在哪</t>
        </is>
      </c>
    </row>
    <row r="2">
      <c r="A2" t="inlineStr">
        <is>
          <t>金山办公</t>
        </is>
      </c>
      <c r="B2" s="5" t="inlineStr">
        <is>
          <t>688111.SH</t>
        </is>
      </c>
      <c r="C2" s="5" t="n">
        <v>1232.65</v>
      </c>
      <c r="D2" s="5" t="n">
        <v>67.09999999999999</v>
      </c>
      <c r="E2" s="5" t="n">
        <v>9.59</v>
      </c>
      <c r="F2" s="5" t="n">
        <v>0.47</v>
      </c>
      <c r="G2" s="5" t="n">
        <v>15.7</v>
      </c>
      <c r="H2" s="5">
        <f>IF(OR(E2="",G2=""),"",G2/100/E2)</f>
        <v/>
      </c>
      <c r="I2" s="5" t="n">
        <v>18.36</v>
      </c>
      <c r="J2" s="5" t="n">
        <v>25.02</v>
      </c>
      <c r="K2" s="5" t="inlineStr">
        <is>
          <t>本标的；PE/PB用自算口径（现价÷EPS3.96、÷BVPS27.75），东财PE14.04异常弃用</t>
        </is>
      </c>
    </row>
    <row r="3">
      <c r="A3" t="inlineStr">
        <is>
          <t>用友网络</t>
        </is>
      </c>
      <c r="B3" s="5" t="inlineStr">
        <is>
          <t>600588.SH</t>
        </is>
      </c>
      <c r="C3" s="5" t="n">
        <v>400.47</v>
      </c>
      <c r="D3" s="5" t="n"/>
      <c r="E3" s="5" t="n">
        <v>5.81</v>
      </c>
      <c r="F3" s="5" t="n"/>
      <c r="G3" s="5" t="n">
        <v>-10.28</v>
      </c>
      <c r="H3" s="5">
        <f>IF(OR(E3="",G3=""),"",G3/100/E3)</f>
        <v/>
      </c>
      <c r="I3" s="5" t="n">
        <v>-13.89</v>
      </c>
      <c r="J3" s="5" t="n">
        <v>8.119999999999999</v>
      </c>
      <c r="K3" s="5" t="inlineStr">
        <is>
          <t>转云失败样本：连亏三年仍5.8倍PB，比金山贵在哪要想清楚</t>
        </is>
      </c>
    </row>
    <row r="4">
      <c r="A4" t="inlineStr">
        <is>
          <t>泛微网络</t>
        </is>
      </c>
      <c r="B4" s="5" t="inlineStr">
        <is>
          <t>603039.SH</t>
        </is>
      </c>
      <c r="C4" s="5" t="n">
        <v>140.22</v>
      </c>
      <c r="D4" s="5" t="n">
        <v>56.42</v>
      </c>
      <c r="E4" s="5" t="n">
        <v>5.33</v>
      </c>
      <c r="F4" s="5" t="n">
        <v>0.28</v>
      </c>
      <c r="G4" s="5" t="n">
        <v>2.42</v>
      </c>
      <c r="H4" s="5">
        <f>IF(OR(E4="",G4=""),"",G4/100/E4)</f>
        <v/>
      </c>
      <c r="I4" s="5" t="n">
        <v>2.89</v>
      </c>
      <c r="J4" s="5" t="n">
        <v>2.83</v>
      </c>
      <c r="K4" s="5" t="inlineStr">
        <is>
          <t>协同OA：盈利但ROE仅2.4%，PE与金山相当</t>
        </is>
      </c>
    </row>
    <row r="5">
      <c r="A5" t="inlineStr">
        <is>
          <t>福昕软件</t>
        </is>
      </c>
      <c r="B5" s="5" t="inlineStr">
        <is>
          <t>688095.SH</t>
        </is>
      </c>
      <c r="C5" s="5" t="n">
        <v>63.53</v>
      </c>
      <c r="D5" s="5" t="n">
        <v>140.97</v>
      </c>
      <c r="E5" s="5" t="n">
        <v>2.44</v>
      </c>
      <c r="F5" s="5" t="n">
        <v>0.43</v>
      </c>
      <c r="G5" s="5" t="n">
        <v>0.43</v>
      </c>
      <c r="H5" s="5">
        <f>IF(OR(E5="",G5=""),"",G5/100/E5)</f>
        <v/>
      </c>
      <c r="I5" s="5" t="n">
        <v>0.3</v>
      </c>
      <c r="J5" s="5" t="n">
        <v>1.79</v>
      </c>
      <c r="K5" s="5" t="inlineStr">
        <is>
          <t>PDF工具出海：PB最低但几乎不赚钱</t>
        </is>
      </c>
    </row>
    <row r="6">
      <c r="A6" t="inlineStr">
        <is>
          <t>科大讯飞</t>
        </is>
      </c>
      <c r="B6" s="5" t="inlineStr">
        <is>
          <t>002230.SZ</t>
        </is>
      </c>
      <c r="C6" s="5" t="n">
        <v>1045.63</v>
      </c>
      <c r="D6" s="5" t="n"/>
      <c r="E6" s="5" t="n">
        <v>4.63</v>
      </c>
      <c r="F6" s="5" t="n">
        <v>0.23</v>
      </c>
      <c r="G6" s="5" t="n">
        <v>-0.91</v>
      </c>
      <c r="H6" s="5">
        <f>IF(OR(E6="",G6=""),"",G6/100/E6)</f>
        <v/>
      </c>
      <c r="I6" s="5" t="n">
        <v>8.390000000000001</v>
      </c>
      <c r="J6" s="5" t="n">
        <v>32.08</v>
      </c>
      <c r="K6" s="5" t="inlineStr">
        <is>
          <t>AI平台对照：市值同量级，但TTM ROE为负（FY25年报归母8.39亿）</t>
        </is>
      </c>
    </row>
    <row r="7">
      <c r="A7" t="inlineStr">
        <is>
          <t>万兴科技</t>
        </is>
      </c>
      <c r="B7" s="5" t="inlineStr">
        <is>
          <t>300624.SZ</t>
        </is>
      </c>
      <c r="C7" s="5" t="n">
        <v>108.81</v>
      </c>
      <c r="D7" s="5" t="n"/>
      <c r="E7" s="5" t="n">
        <v>11.14</v>
      </c>
      <c r="F7" s="5" t="n"/>
      <c r="G7" s="5" t="n">
        <v>-4.8</v>
      </c>
      <c r="H7" s="5">
        <f>IF(OR(E7="",G7=""),"",G7/100/E7)</f>
        <v/>
      </c>
      <c r="I7" s="5" t="n">
        <v>-0.91</v>
      </c>
      <c r="J7" s="5" t="n">
        <v>0.21</v>
      </c>
      <c r="K7" s="5" t="inlineStr">
        <is>
          <t>AI创意软件：亏损但PB 11倍，纯叙事定价样本</t>
        </is>
      </c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10">
      <c r="A10" s="5" t="inlineStr">
        <is>
          <t>纵向分位见 5b_股价与估值（分位窗口只有几年就写几年，别写死「10年」）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4" t="n"/>
    </row>
    <row r="12">
      <c r="A12" s="9" t="inlineStr">
        <is>
          <t>【本表判断】同行里谁最便宜？先看 ROE÷PB 排序（账面回报÷买入价格），再问便宜是因为质量差还是市场没看见？→ 填 memo 第 5 节</t>
        </is>
      </c>
    </row>
    <row r="14">
      <c r="A14" t="inlineStr">
        <is>
          <t>⚠ 港股市值/股息用港元，A股用人民币，混排时必须在备注写清币种，不要直接比大小；PB/PE/ROE 是比值，跳币可比</t>
        </is>
      </c>
    </row>
  </sheetData>
  <mergeCells count="2">
    <mergeCell ref="A10:K10"/>
    <mergeCell ref="A12:K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6" customWidth="1" min="10" max="10"/>
  </cols>
  <sheetData>
    <row r="1">
      <c r="A1" s="3" t="inlineStr">
        <is>
          <t>股价与估值（数据源：fetch_stock_price.py / 东财公开接口；价格为交易货币原币）</t>
        </is>
      </c>
    </row>
    <row r="3">
      <c r="A3" s="3" t="inlineStr">
        <is>
          <t>A. 历年股价（annual 子命令；年末收盘为不复权，涨跌幅为前复权）</t>
        </is>
      </c>
    </row>
    <row r="4">
      <c r="A4" s="4" t="inlineStr">
        <is>
          <t>年度</t>
        </is>
      </c>
      <c r="B4" s="4" t="inlineStr">
        <is>
          <t>年末收盘</t>
        </is>
      </c>
      <c r="C4" s="4" t="inlineStr">
        <is>
          <t>年内均价</t>
        </is>
      </c>
      <c r="D4" s="4" t="inlineStr">
        <is>
          <t>年内最高</t>
        </is>
      </c>
      <c r="E4" s="4" t="inlineStr">
        <is>
          <t>年内最低</t>
        </is>
      </c>
      <c r="F4" s="4" t="inlineStr">
        <is>
          <t>年度涨跌%</t>
        </is>
      </c>
      <c r="G4" s="4" t="inlineStr">
        <is>
          <t>年末市值(亿)</t>
        </is>
      </c>
      <c r="H4" s="4" t="inlineStr"/>
      <c r="I4" s="4" t="inlineStr"/>
      <c r="J4" s="4" t="inlineStr">
        <is>
          <t>备注</t>
        </is>
      </c>
    </row>
    <row r="5">
      <c r="A5" s="5" t="n"/>
      <c r="B5" s="5" t="n"/>
      <c r="C5" s="5" t="n"/>
      <c r="D5" s="5" t="n"/>
      <c r="E5" s="5" t="n"/>
      <c r="F5" s="5" t="n"/>
      <c r="G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J16" s="5" t="n"/>
    </row>
    <row r="18">
      <c r="A18" s="3" t="inlineStr">
        <is>
          <t>B. 每股指标与汇率（BVPS/EPS 从 Sheet2/Sheet4 除以股本；DPS 抄股息附注）</t>
        </is>
      </c>
    </row>
    <row r="19">
      <c r="A19" s="4" t="inlineStr">
        <is>
          <t>项目</t>
        </is>
      </c>
      <c r="B19" s="4" t="inlineStr">
        <is>
          <t>FY2021</t>
        </is>
      </c>
      <c r="C19" s="4" t="inlineStr">
        <is>
          <t>FY2022</t>
        </is>
      </c>
      <c r="D19" s="4" t="inlineStr">
        <is>
          <t>FY2023</t>
        </is>
      </c>
      <c r="E19" s="4" t="inlineStr">
        <is>
          <t>FY2024</t>
        </is>
      </c>
      <c r="F19" s="4" t="inlineStr">
        <is>
          <t>FY2025</t>
        </is>
      </c>
      <c r="G19" s="4" t="inlineStr">
        <is>
          <t>最新中报/TTM</t>
        </is>
      </c>
      <c r="H19" s="4" t="inlineStr">
        <is>
          <t>出处/口径</t>
        </is>
      </c>
    </row>
    <row r="20">
      <c r="A20" t="inlineStr">
        <is>
          <t>总股本（百万股）</t>
        </is>
      </c>
      <c r="B20" s="5" t="n">
        <v>461</v>
      </c>
      <c r="C20" s="5" t="n">
        <v>461.4</v>
      </c>
      <c r="D20" s="5" t="n">
        <v>461.7</v>
      </c>
      <c r="E20" s="5" t="n">
        <v>462.2</v>
      </c>
      <c r="F20" s="5" t="n">
        <v>463.2</v>
      </c>
      <c r="G20" s="5" t="n"/>
      <c r="H20" s="5" t="n"/>
    </row>
    <row r="21">
      <c r="A21" t="inlineStr">
        <is>
          <t>每股净资产 BVPS（原币，报表币）</t>
        </is>
      </c>
      <c r="B21" s="5" t="n">
        <v>16.74</v>
      </c>
      <c r="C21" s="5" t="n">
        <v>18.91</v>
      </c>
      <c r="D21" s="5" t="n">
        <v>21.55</v>
      </c>
      <c r="E21" s="5" t="n">
        <v>24.57</v>
      </c>
      <c r="F21" s="5" t="n">
        <v>27.75</v>
      </c>
      <c r="G21" s="5" t="n"/>
      <c r="H21" s="5" t="n"/>
    </row>
    <row r="22">
      <c r="A22" t="inlineStr">
        <is>
          <t>每股收益 EPS（报表币）</t>
        </is>
      </c>
      <c r="B22" s="5" t="n">
        <v>2.26</v>
      </c>
      <c r="C22" s="5" t="n">
        <v>2.42</v>
      </c>
      <c r="D22" s="5" t="n">
        <v>2.85</v>
      </c>
      <c r="E22" s="5" t="n">
        <v>3.56</v>
      </c>
      <c r="F22" s="5" t="n">
        <v>3.96</v>
      </c>
      <c r="G22" s="5" t="n"/>
      <c r="H22" s="5" t="n"/>
    </row>
    <row r="23">
      <c r="A23" t="inlineStr">
        <is>
          <t>每股股息 DPS（含中期+末期，注明币种）</t>
        </is>
      </c>
      <c r="B23" s="5" t="n">
        <v>0.7</v>
      </c>
      <c r="C23" s="5" t="n">
        <v>0.7</v>
      </c>
      <c r="D23" s="5" t="n">
        <v>0.88</v>
      </c>
      <c r="E23" s="5" t="n">
        <v>0.9</v>
      </c>
      <c r="F23" s="5" t="n">
        <v>1.2523</v>
      </c>
      <c r="G23" s="5" t="n"/>
      <c r="H23" s="5" t="n"/>
    </row>
    <row r="24">
      <c r="A24" t="inlineStr">
        <is>
          <t>汇率：报表币→股价币</t>
        </is>
      </c>
      <c r="B24" s="5" t="n">
        <v>1</v>
      </c>
      <c r="C24" s="5" t="n">
        <v>1</v>
      </c>
      <c r="D24" s="5" t="n">
        <v>1</v>
      </c>
      <c r="E24" s="5" t="n">
        <v>1</v>
      </c>
      <c r="F24" s="5" t="n">
        <v>1</v>
      </c>
      <c r="G24" s="5" t="n"/>
      <c r="H24" s="5" t="n"/>
    </row>
    <row r="26">
      <c r="A26" s="3" t="inlineStr">
        <is>
          <t>C. 当前估值与历史分位（valuation 子命令；分位窗口受 BVPS 覆盖年数限制，必须写清窗口）</t>
        </is>
      </c>
    </row>
    <row r="27">
      <c r="A27" s="4" t="inlineStr">
        <is>
          <t>指标</t>
        </is>
      </c>
      <c r="B27" s="4" t="inlineStr">
        <is>
          <t>当前值</t>
        </is>
      </c>
      <c r="C27" s="4" t="inlineStr">
        <is>
          <t>数值分位</t>
        </is>
      </c>
      <c r="D27" s="4" t="inlineStr">
        <is>
          <t>便宜程度分位</t>
        </is>
      </c>
      <c r="E27" s="4" t="inlineStr">
        <is>
          <t>区间下限</t>
        </is>
      </c>
      <c r="F27" s="4" t="inlineStr">
        <is>
          <t>区间上限</t>
        </is>
      </c>
      <c r="G27" s="4" t="inlineStr">
        <is>
          <t>中位</t>
        </is>
      </c>
      <c r="H27" s="4" t="inlineStr">
        <is>
          <t>25%档</t>
        </is>
      </c>
      <c r="I27" s="4" t="inlineStr">
        <is>
          <t>75%档</t>
        </is>
      </c>
      <c r="J27" s="4" t="inlineStr">
        <is>
          <t>分位窗口</t>
        </is>
      </c>
    </row>
    <row r="28">
      <c r="A28" t="inlineStr">
        <is>
          <t>股价（无汇率依赖）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t="inlineStr">
        <is>
          <t>PB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t="inlineStr">
        <is>
          <t>PE（静态）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t="inlineStr">
        <is>
          <t>股息率 %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3">
      <c r="A33" s="3" t="inlineStr">
        <is>
          <t>D. 价格隐含预期敏感度（把估值倒推成一个业务假设，这是 memo 第 5 节的核心）</t>
        </is>
      </c>
    </row>
    <row r="34">
      <c r="A34" s="2" t="inlineStr">
        <is>
          <t>计算式：隐含权益折价 = 归母权益 − 市值 ÷ 目标PB ；再除以被质疑的那个资产科目 = 隐含减值率</t>
        </is>
      </c>
    </row>
    <row r="35">
      <c r="A35" s="4" t="inlineStr">
        <is>
          <t>PB 档位</t>
        </is>
      </c>
      <c r="B35" s="4" t="inlineStr">
        <is>
          <t>对应股价</t>
        </is>
      </c>
      <c r="C35" s="4" t="inlineStr">
        <is>
          <t>对应市值(亿)</t>
        </is>
      </c>
      <c r="D35" s="4" t="inlineStr">
        <is>
          <t>隐含权益折价(亿)</t>
        </is>
      </c>
      <c r="E35" s="4" t="inlineStr">
        <is>
          <t>隐含减值率</t>
        </is>
      </c>
      <c r="F35" s="4" t="inlineStr">
        <is>
          <t>vs 账面拨备率</t>
        </is>
      </c>
      <c r="G35" s="4" t="inlineStr"/>
      <c r="H35" s="4" t="inlineStr"/>
      <c r="I35" s="4" t="inlineStr"/>
      <c r="J35" s="4" t="inlineStr">
        <is>
          <t>档位含义</t>
        </is>
      </c>
    </row>
    <row r="36">
      <c r="A36" s="5" t="n"/>
      <c r="B36" s="5" t="n"/>
      <c r="C36" s="5" t="n"/>
      <c r="D36" s="5" t="n"/>
      <c r="E36" s="5" t="n"/>
      <c r="F36" s="5" t="n"/>
      <c r="J36" s="5" t="n"/>
    </row>
    <row r="37">
      <c r="A37" s="5" t="n"/>
      <c r="B37" s="5" t="n"/>
      <c r="C37" s="5" t="n"/>
      <c r="D37" s="5" t="n"/>
      <c r="E37" s="5" t="n"/>
      <c r="F37" s="5" t="n"/>
      <c r="J37" s="5" t="n"/>
    </row>
    <row r="38">
      <c r="A38" s="5" t="n"/>
      <c r="B38" s="5" t="n"/>
      <c r="C38" s="5" t="n"/>
      <c r="D38" s="5" t="n"/>
      <c r="E38" s="5" t="n"/>
      <c r="F38" s="5" t="n"/>
      <c r="J38" s="5" t="n"/>
    </row>
    <row r="39">
      <c r="A39" s="5" t="n"/>
      <c r="B39" s="5" t="n"/>
      <c r="C39" s="5" t="n"/>
      <c r="D39" s="5" t="n"/>
      <c r="E39" s="5" t="n"/>
      <c r="F39" s="5" t="n"/>
      <c r="J39" s="5" t="n"/>
    </row>
    <row r="40">
      <c r="A40" s="5" t="n"/>
      <c r="B40" s="5" t="n"/>
      <c r="C40" s="5" t="n"/>
      <c r="D40" s="5" t="n"/>
      <c r="E40" s="5" t="n"/>
      <c r="F40" s="5" t="n"/>
      <c r="J40" s="5" t="n"/>
    </row>
    <row r="42">
      <c r="A42" s="9" t="inlineStr">
        <is>
          <t>【本表判断】当前价处于自身历史［便宜/中位/偏贵］一侧；价格隐含的假设是 ____；我的判断比市场更［乐观/悲观］→ 填 memo 第 0 节与第 5 节</t>
        </is>
      </c>
    </row>
    <row r="44">
      <c r="A44" s="2" t="inlineStr">
        <is>
          <t>⚠ 三条口径纪律：①分位窗口只有几年就说几年，别写「10年分位」；②PB 用归母权益，脚本值与东财值差 &gt;15% 必须查口径；③股价涨过一轮之后再说「市场很悲观」之前，先看 PB 分位</t>
        </is>
      </c>
    </row>
  </sheetData>
  <mergeCells count="3">
    <mergeCell ref="A44:J44"/>
    <mergeCell ref="A34:J34"/>
    <mergeCell ref="A42:J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30" customWidth="1" min="5" max="5"/>
  </cols>
  <sheetData>
    <row r="1">
      <c r="A1" s="4" t="inlineStr">
        <is>
          <t>日期</t>
        </is>
      </c>
      <c r="B1" s="4" t="inlineStr">
        <is>
          <t>指标</t>
        </is>
      </c>
      <c r="C1" s="4" t="inlineStr">
        <is>
          <t>数值</t>
        </is>
      </c>
      <c r="D1" s="4" t="inlineStr">
        <is>
          <t>出处（报告名+页码/附注号，精确到页）</t>
        </is>
      </c>
      <c r="E1" s="4" t="inlineStr">
        <is>
          <t>备注（口径疑问记这里）</t>
        </is>
      </c>
    </row>
    <row r="2">
      <c r="A2" s="5" t="inlineStr">
        <is>
          <t>2026-08-07</t>
        </is>
      </c>
      <c r="B2" s="5" t="inlineStr">
        <is>
          <t>1_-分部收入-个人订阅→W-FY2021~25</t>
        </is>
      </c>
      <c r="C2" s="5" t="inlineStr">
        <is>
          <t>见备注</t>
        </is>
      </c>
      <c r="D2" s="5" t="inlineStr">
        <is>
          <t>各年年报「主营业务分产品情况」：2021 p39-40 / 2022 p40-41 / 2023 p38-39 / 2024 p36-37 / 2025 p36</t>
        </is>
      </c>
      <c r="E2" s="5" t="inlineStr">
        <is>
          <t>FY2024起公司改分类口径（WPS个人/WPS365/WPS软件/其他），与旧口径按业务实质逐行对应但非严格重述，跨口径增速仅供参考[年报披露]</t>
        </is>
      </c>
    </row>
    <row r="3">
      <c r="A3" s="5" t="inlineStr">
        <is>
          <t>2026-08-07</t>
        </is>
      </c>
      <c r="B3" s="5" t="inlineStr">
        <is>
          <t>1_-分部毛利率-个人订阅→W-FY2021~25</t>
        </is>
      </c>
      <c r="C3" s="5" t="inlineStr">
        <is>
          <t>见备注</t>
        </is>
      </c>
      <c r="D3" s="5" t="inlineStr">
        <is>
          <t>同上分产品表毛利率列</t>
        </is>
      </c>
      <c r="E3" s="5" t="inlineStr">
        <is>
          <t>[年报披露]</t>
        </is>
      </c>
    </row>
    <row r="4">
      <c r="A4" s="5" t="inlineStr">
        <is>
          <t>2026-08-07</t>
        </is>
      </c>
      <c r="B4" s="5" t="inlineStr">
        <is>
          <t>1_-分部收入-机构订阅及服-FY2021~25</t>
        </is>
      </c>
      <c r="C4" s="5" t="inlineStr">
        <is>
          <t>见备注</t>
        </is>
      </c>
      <c r="D4" s="5" t="inlineStr">
        <is>
          <t>各年年报「主营业务分产品情况」：2021 p39-40 / 2022 p40-41 / 2023 p38-39 / 2024 p36-37 / 2025 p36</t>
        </is>
      </c>
      <c r="E4" s="5" t="inlineStr">
        <is>
          <t>FY2024起公司改分类口径（WPS个人/WPS365/WPS软件/其他），与旧口径按业务实质逐行对应但非严格重述，跨口径增速仅供参考[年报披露]</t>
        </is>
      </c>
    </row>
    <row r="5">
      <c r="A5" s="5" t="inlineStr">
        <is>
          <t>2026-08-07</t>
        </is>
      </c>
      <c r="B5" s="5" t="inlineStr">
        <is>
          <t>1_-分部毛利率-机构订阅及服-FY2021~25</t>
        </is>
      </c>
      <c r="C5" s="5" t="inlineStr">
        <is>
          <t>见备注</t>
        </is>
      </c>
      <c r="D5" s="5" t="inlineStr">
        <is>
          <t>同上分产品表毛利率列</t>
        </is>
      </c>
      <c r="E5" s="5" t="inlineStr">
        <is>
          <t>[年报披露]</t>
        </is>
      </c>
    </row>
    <row r="6">
      <c r="A6" s="5" t="inlineStr">
        <is>
          <t>2026-08-07</t>
        </is>
      </c>
      <c r="B6" s="5" t="inlineStr">
        <is>
          <t>1_-分部收入-机构授权→W-FY2021~25</t>
        </is>
      </c>
      <c r="C6" s="5" t="inlineStr">
        <is>
          <t>见备注</t>
        </is>
      </c>
      <c r="D6" s="5" t="inlineStr">
        <is>
          <t>各年年报「主营业务分产品情况」：2021 p39-40 / 2022 p40-41 / 2023 p38-39 / 2024 p36-37 / 2025 p36</t>
        </is>
      </c>
      <c r="E6" s="5" t="inlineStr">
        <is>
          <t>FY2024起公司改分类口径（WPS个人/WPS365/WPS软件/其他），与旧口径按业务实质逐行对应但非严格重述，跨口径增速仅供参考[年报披露]</t>
        </is>
      </c>
    </row>
    <row r="7">
      <c r="A7" s="5" t="inlineStr">
        <is>
          <t>2026-08-07</t>
        </is>
      </c>
      <c r="B7" s="5" t="inlineStr">
        <is>
          <t>1_-分部毛利率-机构授权→W-FY2021~25</t>
        </is>
      </c>
      <c r="C7" s="5" t="inlineStr">
        <is>
          <t>见备注</t>
        </is>
      </c>
      <c r="D7" s="5" t="inlineStr">
        <is>
          <t>同上分产品表毛利率列</t>
        </is>
      </c>
      <c r="E7" s="5" t="inlineStr">
        <is>
          <t>[年报披露]</t>
        </is>
      </c>
    </row>
    <row r="8">
      <c r="A8" s="5" t="inlineStr">
        <is>
          <t>2026-08-07</t>
        </is>
      </c>
      <c r="B8" s="5" t="inlineStr">
        <is>
          <t>1_-分部收入-广告及其他→-FY2021~25</t>
        </is>
      </c>
      <c r="C8" s="5" t="inlineStr">
        <is>
          <t>见备注</t>
        </is>
      </c>
      <c r="D8" s="5" t="inlineStr">
        <is>
          <t>各年年报「主营业务分产品情况」：2021 p39-40 / 2022 p40-41 / 2023 p38-39 / 2024 p36-37 / 2025 p36</t>
        </is>
      </c>
      <c r="E8" s="5" t="inlineStr">
        <is>
          <t>FY2024起公司改分类口径（WPS个人/WPS365/WPS软件/其他），与旧口径按业务实质逐行对应但非严格重述，跨口径增速仅供参考[年报披露]</t>
        </is>
      </c>
    </row>
    <row r="9">
      <c r="A9" s="5" t="inlineStr">
        <is>
          <t>2026-08-07</t>
        </is>
      </c>
      <c r="B9" s="5" t="inlineStr">
        <is>
          <t>1_-分部毛利率-广告及其他→-FY2021~25</t>
        </is>
      </c>
      <c r="C9" s="5" t="inlineStr">
        <is>
          <t>见备注</t>
        </is>
      </c>
      <c r="D9" s="5" t="inlineStr">
        <is>
          <t>同上分产品表毛利率列</t>
        </is>
      </c>
      <c r="E9" s="5" t="inlineStr">
        <is>
          <t>[年报披露]</t>
        </is>
      </c>
    </row>
    <row r="10">
      <c r="A10" s="5" t="inlineStr">
        <is>
          <t>2026-08-07</t>
        </is>
      </c>
      <c r="B10" s="5" t="inlineStr">
        <is>
          <t>2_-营业收入-FY2021~25</t>
        </is>
      </c>
      <c r="C10" s="5" t="inlineStr">
        <is>
          <t>见备注</t>
        </is>
      </c>
      <c r="D10" s="5" t="inlineStr">
        <is>
          <t>2025年报p36（592,874万）；余年AKShare利润表与各年年报MD&amp;A一致</t>
        </is>
      </c>
      <c r="E10" s="5" t="inlineStr">
        <is>
          <t>[年报披露]</t>
        </is>
      </c>
    </row>
    <row r="11">
      <c r="A11" s="5" t="inlineStr">
        <is>
          <t>2026-08-07</t>
        </is>
      </c>
      <c r="B11" s="5" t="inlineStr">
        <is>
          <t>2_-毛利-FY2021~25</t>
        </is>
      </c>
      <c r="C11" s="5" t="inlineStr">
        <is>
          <t>见备注</t>
        </is>
      </c>
      <c r="D11" s="5" t="inlineStr">
        <is>
          <t>营收-营业成本（营业成本429/583/670/761/833）</t>
        </is>
      </c>
      <c r="E11" s="5" t="inlineStr">
        <is>
          <t>[推算]毛利=营收-营业成本</t>
        </is>
      </c>
    </row>
    <row r="12">
      <c r="A12" s="5" t="inlineStr">
        <is>
          <t>2026-08-07</t>
        </is>
      </c>
      <c r="B12" s="5" t="inlineStr">
        <is>
          <t>2_-销售及行政开支-FY2021~25</t>
        </is>
      </c>
      <c r="C12" s="5" t="inlineStr">
        <is>
          <t>见备注</t>
        </is>
      </c>
      <c r="D12" s="5" t="inlineStr">
        <is>
          <t>AKShare利润表 SALE_EXPENSE+MANAGE_EXPENSE</t>
        </is>
      </c>
      <c r="E12" s="5" t="inlineStr">
        <is>
          <t>[推算]销售+管理费用加总</t>
        </is>
      </c>
    </row>
    <row r="13">
      <c r="A13" s="5" t="inlineStr">
        <is>
          <t>2026-08-07</t>
        </is>
      </c>
      <c r="B13" s="5" t="inlineStr">
        <is>
          <t>2_-财务费用-FY2021~25</t>
        </is>
      </c>
      <c r="C13" s="5" t="inlineStr">
        <is>
          <t>见备注</t>
        </is>
      </c>
      <c r="D13" s="5" t="inlineStr">
        <is>
          <t>AKShare利润表 FINANCE_EXPENSE</t>
        </is>
      </c>
      <c r="E13" s="5" t="inlineStr">
        <is>
          <t>负数=利息净收入[年报披露]</t>
        </is>
      </c>
    </row>
    <row r="14">
      <c r="A14" s="5" t="inlineStr">
        <is>
          <t>2026-08-07</t>
        </is>
      </c>
      <c r="B14" s="5" t="inlineStr">
        <is>
          <t>2_-应占合联营损益-FY2021~25</t>
        </is>
      </c>
      <c r="C14" s="5" t="inlineStr">
        <is>
          <t>见备注</t>
        </is>
      </c>
      <c r="D14" s="5" t="inlineStr">
        <is>
          <t>AKShare利润表 INVEST_JOINT_INCOME</t>
        </is>
      </c>
      <c r="E14" s="5" t="inlineStr">
        <is>
          <t>[年报披露]</t>
        </is>
      </c>
    </row>
    <row r="15">
      <c r="A15" s="5" t="inlineStr">
        <is>
          <t>2026-08-07</t>
        </is>
      </c>
      <c r="B15" s="5" t="inlineStr">
        <is>
          <t>2_-除税前溢利-FY2021~25</t>
        </is>
      </c>
      <c r="C15" s="5" t="inlineStr">
        <is>
          <t>见备注</t>
        </is>
      </c>
      <c r="D15" s="5" t="inlineStr">
        <is>
          <t>AKShare利润表 TOTAL_PROFIT</t>
        </is>
      </c>
      <c r="E15" s="5" t="inlineStr">
        <is>
          <t>[年报披露]</t>
        </is>
      </c>
    </row>
    <row r="16">
      <c r="A16" s="5" t="inlineStr">
        <is>
          <t>2026-08-07</t>
        </is>
      </c>
      <c r="B16" s="5" t="inlineStr">
        <is>
          <t>2_-净利润-FY2021~25</t>
        </is>
      </c>
      <c r="C16" s="5" t="inlineStr">
        <is>
          <t>见备注</t>
        </is>
      </c>
      <c r="D16" s="5" t="inlineStr">
        <is>
          <t>AKShare利润表 NETPROFIT</t>
        </is>
      </c>
      <c r="E16" s="5" t="inlineStr">
        <is>
          <t>[年报披露]</t>
        </is>
      </c>
    </row>
    <row r="17">
      <c r="A17" s="5" t="inlineStr">
        <is>
          <t>2026-08-07</t>
        </is>
      </c>
      <c r="B17" s="5" t="inlineStr">
        <is>
          <t>2_-归母净利润-FY2021~25</t>
        </is>
      </c>
      <c r="C17" s="5" t="inlineStr">
        <is>
          <t>见备注</t>
        </is>
      </c>
      <c r="D17" s="5" t="inlineStr">
        <is>
          <t>2025年报p36（183,647万）；余年AKShare PARENT_NETPROFIT</t>
        </is>
      </c>
      <c r="E17" s="5" t="inlineStr">
        <is>
          <t>[年报披露]</t>
        </is>
      </c>
    </row>
    <row r="18">
      <c r="A18" s="5" t="inlineStr">
        <is>
          <t>2026-08-07</t>
        </is>
      </c>
      <c r="B18" s="5" t="inlineStr">
        <is>
          <t>2_-非经常项目-FY2021~25</t>
        </is>
      </c>
      <c r="C18" s="5" t="inlineStr">
        <is>
          <t>见备注</t>
        </is>
      </c>
      <c r="D18" s="5" t="inlineStr">
        <is>
          <t>归母-扣非（扣非840/939/1262/1556/1803）</t>
        </is>
      </c>
      <c r="E18" s="5" t="inlineStr">
        <is>
          <t>[推算]=归母-扣非归母</t>
        </is>
      </c>
    </row>
    <row r="19">
      <c r="A19" s="5" t="inlineStr">
        <is>
          <t>2026-08-07</t>
        </is>
      </c>
      <c r="B19" s="5" t="inlineStr">
        <is>
          <t>3_-经营活动现金流净额-FY2021~25</t>
        </is>
      </c>
      <c r="C19" s="5" t="inlineStr">
        <is>
          <t>见备注</t>
        </is>
      </c>
      <c r="D19" s="5" t="inlineStr">
        <is>
          <t>AKShare现金流量表 NETCASH_OPERATE</t>
        </is>
      </c>
      <c r="E19" s="5" t="inlineStr">
        <is>
          <t>[年报披露]</t>
        </is>
      </c>
    </row>
    <row r="20">
      <c r="A20" s="5" t="inlineStr">
        <is>
          <t>2026-08-07</t>
        </is>
      </c>
      <c r="B20" s="5" t="inlineStr">
        <is>
          <t>3_-净利润-FY2021~25</t>
        </is>
      </c>
      <c r="C20" s="5" t="inlineStr">
        <is>
          <t>见备注</t>
        </is>
      </c>
      <c r="D20" s="5" t="inlineStr">
        <is>
          <t>同Sheet2</t>
        </is>
      </c>
      <c r="E20" s="5" t="inlineStr">
        <is>
          <t>[年报披露]</t>
        </is>
      </c>
    </row>
    <row r="21">
      <c r="A21" s="5" t="inlineStr">
        <is>
          <t>2026-08-07</t>
        </is>
      </c>
      <c r="B21" s="5" t="inlineStr">
        <is>
          <t>3_-资本开支-FY2021~25</t>
        </is>
      </c>
      <c r="C21" s="5" t="inlineStr">
        <is>
          <t>见备注</t>
        </is>
      </c>
      <c r="D21" s="5" t="inlineStr">
        <is>
          <t>AKShare CONSTRUCT_LONG_ASSET，填负数</t>
        </is>
      </c>
      <c r="E21" s="5" t="inlineStr">
        <is>
          <t>[年报披露]轻资产：资本开支不足OCF的10%</t>
        </is>
      </c>
    </row>
    <row r="22">
      <c r="A22" s="5" t="inlineStr">
        <is>
          <t>2026-08-07</t>
        </is>
      </c>
      <c r="B22" s="5" t="inlineStr">
        <is>
          <t>3_-投资活动现金流净额-FY2021~25</t>
        </is>
      </c>
      <c r="C22" s="5" t="inlineStr">
        <is>
          <t>见备注</t>
        </is>
      </c>
      <c r="D22" s="5" t="inlineStr">
        <is>
          <t>AKShare NETCASH_INVEST</t>
        </is>
      </c>
      <c r="E22" s="5" t="inlineStr">
        <is>
          <t>大额波动系理财/结构性存款配置，非产能投资[年报披露]</t>
        </is>
      </c>
    </row>
    <row r="23">
      <c r="A23" s="5" t="inlineStr">
        <is>
          <t>2026-08-07</t>
        </is>
      </c>
      <c r="B23" s="5" t="inlineStr">
        <is>
          <t>3_-筹资活动现金流净额-FY2021~25</t>
        </is>
      </c>
      <c r="C23" s="5" t="inlineStr">
        <is>
          <t>见备注</t>
        </is>
      </c>
      <c r="D23" s="5" t="inlineStr">
        <is>
          <t>AKShare NETCASH_FINANCE</t>
        </is>
      </c>
      <c r="E23" s="5" t="inlineStr">
        <is>
          <t>FY2025含收购少数股东股权流出（2025年报p36）[年报披露]</t>
        </is>
      </c>
    </row>
    <row r="24">
      <c r="A24" s="5" t="inlineStr">
        <is>
          <t>2026-08-07</t>
        </is>
      </c>
      <c r="B24" s="5" t="inlineStr">
        <is>
          <t>3_-已派股息-FY2021~25</t>
        </is>
      </c>
      <c r="C24" s="5" t="inlineStr">
        <is>
          <t>见备注</t>
        </is>
      </c>
      <c r="D24" s="5" t="inlineStr">
        <is>
          <t>AKShare ASSIGN_DIVIDEND_PORFIT，填负数</t>
        </is>
      </c>
      <c r="E24" s="5" t="inlineStr">
        <is>
          <t>分配股利利润偿付利息口径[年报披露]</t>
        </is>
      </c>
    </row>
    <row r="25">
      <c r="A25" s="5" t="inlineStr">
        <is>
          <t>2026-08-07</t>
        </is>
      </c>
      <c r="B25" s="5" t="inlineStr">
        <is>
          <t>3_-期末现金及等价物-FY2021~25</t>
        </is>
      </c>
      <c r="C25" s="5" t="inlineStr">
        <is>
          <t>见备注</t>
        </is>
      </c>
      <c r="D25" s="5" t="inlineStr">
        <is>
          <t>AKShare END_CASH</t>
        </is>
      </c>
      <c r="E25" s="5" t="inlineStr">
        <is>
          <t>现金低≠缺钱：大部分资金在交易性金融资产/定期存款[年报披露]</t>
        </is>
      </c>
    </row>
    <row r="26">
      <c r="A26" s="5" t="inlineStr">
        <is>
          <t>2026-08-07</t>
        </is>
      </c>
      <c r="B26" s="5" t="inlineStr">
        <is>
          <t>4_-总资产-FY2021~25</t>
        </is>
      </c>
      <c r="C26" s="5" t="inlineStr">
        <is>
          <t>见备注</t>
        </is>
      </c>
      <c r="D26" s="5" t="inlineStr">
        <is>
          <t>2025年报p106资产总计181.56亿；余年AKShare</t>
        </is>
      </c>
      <c r="E26" s="5" t="inlineStr">
        <is>
          <t>[年报披露]</t>
        </is>
      </c>
    </row>
    <row r="27">
      <c r="A27" s="5" t="inlineStr">
        <is>
          <t>2026-08-07</t>
        </is>
      </c>
      <c r="B27" s="5" t="inlineStr">
        <is>
          <t>4_-归母权益-FY2021~25</t>
        </is>
      </c>
      <c r="C27" s="5" t="inlineStr">
        <is>
          <t>见备注</t>
        </is>
      </c>
      <c r="D27" s="5" t="inlineStr">
        <is>
          <t>AKShare TOTAL_PARENT_EQUITY</t>
        </is>
      </c>
      <c r="E27" s="5" t="inlineStr">
        <is>
          <t>[年报披露]</t>
        </is>
      </c>
    </row>
    <row r="28">
      <c r="A28" s="5" t="inlineStr">
        <is>
          <t>2026-08-07</t>
        </is>
      </c>
      <c r="B28" s="5" t="inlineStr">
        <is>
          <t>4_-货币资金-FY2021~25</t>
        </is>
      </c>
      <c r="C28" s="5" t="inlineStr">
        <is>
          <t>见备注</t>
        </is>
      </c>
      <c r="D28" s="5" t="inlineStr">
        <is>
          <t>AKShare MONETARYFUNDS</t>
        </is>
      </c>
      <c r="E28" s="5" t="inlineStr">
        <is>
          <t>另有大额交易性金融资产（理财）不在此行[年报披露]</t>
        </is>
      </c>
    </row>
    <row r="29">
      <c r="A29" s="5" t="inlineStr">
        <is>
          <t>2026-08-07</t>
        </is>
      </c>
      <c r="B29" s="5" t="inlineStr">
        <is>
          <t>4_-短期借贷-FY2021~25</t>
        </is>
      </c>
      <c r="C29" s="5" t="inlineStr">
        <is>
          <t>见备注</t>
        </is>
      </c>
      <c r="D29" s="5" t="inlineStr">
        <is>
          <t>资产负债表无短期借款科目</t>
        </is>
      </c>
      <c r="E29" s="5" t="inlineStr">
        <is>
          <t>[年报披露]零有息负债</t>
        </is>
      </c>
    </row>
    <row r="30">
      <c r="A30" s="5" t="inlineStr">
        <is>
          <t>2026-08-07</t>
        </is>
      </c>
      <c r="B30" s="5" t="inlineStr">
        <is>
          <t>4_-长期借贷-FY2021~25</t>
        </is>
      </c>
      <c r="C30" s="5" t="inlineStr">
        <is>
          <t>见备注</t>
        </is>
      </c>
      <c r="D30" s="5" t="inlineStr">
        <is>
          <t>资产负债表无长期借款科目</t>
        </is>
      </c>
      <c r="E30" s="5" t="inlineStr">
        <is>
          <t>[年报披露]</t>
        </is>
      </c>
    </row>
    <row r="31">
      <c r="A31" s="5" t="inlineStr">
        <is>
          <t>2026-08-07</t>
        </is>
      </c>
      <c r="B31" s="5" t="inlineStr">
        <is>
          <t>4_-永续证券-FY2021~25</t>
        </is>
      </c>
      <c r="C31" s="5" t="inlineStr">
        <is>
          <t>见备注</t>
        </is>
      </c>
      <c r="D31" s="5" t="inlineStr">
        <is>
          <t>无</t>
        </is>
      </c>
      <c r="E31" s="5" t="inlineStr">
        <is>
          <t>[年报披露]</t>
        </is>
      </c>
    </row>
    <row r="32">
      <c r="A32" s="5" t="inlineStr">
        <is>
          <t>2026-08-07</t>
        </is>
      </c>
      <c r="B32" s="5" t="inlineStr">
        <is>
          <t>4_-贸易应收款-FY2021~25</t>
        </is>
      </c>
      <c r="C32" s="5" t="inlineStr">
        <is>
          <t>见备注</t>
        </is>
      </c>
      <c r="D32" s="5" t="inlineStr">
        <is>
          <t>AKShare NOTE_ACCOUNTS_RECE（应收票据及账款）</t>
        </is>
      </c>
      <c r="E32" s="5" t="inlineStr">
        <is>
          <t>[年报披露]</t>
        </is>
      </c>
    </row>
    <row r="33">
      <c r="A33" s="5" t="inlineStr">
        <is>
          <t>2026-08-07</t>
        </is>
      </c>
      <c r="B33" s="5" t="inlineStr">
        <is>
          <t>4_-合同负债-FY2021~25</t>
        </is>
      </c>
      <c r="C33" s="5" t="inlineStr">
        <is>
          <t>见备注</t>
        </is>
      </c>
      <c r="D33" s="5" t="inlineStr">
        <is>
          <t>AKShare CONTRACT_LIAB</t>
        </is>
      </c>
      <c r="E33" s="5" t="inlineStr">
        <is>
          <t>订阅制预收款，是收入的先行指标[年报披露]</t>
        </is>
      </c>
    </row>
    <row r="34">
      <c r="A34" s="5" t="inlineStr">
        <is>
          <t>2026-08-07</t>
        </is>
      </c>
      <c r="B34" s="5" t="inlineStr">
        <is>
          <t>S5-同行快照-全表</t>
        </is>
      </c>
      <c r="C34" s="5" t="inlineStr">
        <is>
          <t>见表</t>
        </is>
      </c>
      <c r="D34" s="5" t="inlineStr">
        <is>
          <t>东财snapshot 2026-08-07收盘 px_snapshot_peers.csv</t>
        </is>
      </c>
      <c r="E34" s="5" t="inlineStr">
        <is>
          <t>PE/ROE为东财口径（TTM、含少数股东）；负PE留空表示亏损；金山东财PE 14.04疑异常（自算静态67），以5b自算为准</t>
        </is>
      </c>
    </row>
    <row r="35">
      <c r="A35" s="5" t="inlineStr">
        <is>
          <t>2026-08-07</t>
        </is>
      </c>
      <c r="B35" s="5" t="inlineStr">
        <is>
          <t>5b-总股本（百万股）-FY2021~25</t>
        </is>
      </c>
      <c r="C35" s="5" t="inlineStr">
        <is>
          <t>见备注</t>
        </is>
      </c>
      <c r="D35" s="5" t="inlineStr">
        <is>
          <t>由各年分红总额÷每股派息反推（2025年报p63：580,017,310.38÷1.25228）</t>
        </is>
      </c>
      <c r="E35" s="5" t="inlineStr">
        <is>
          <t>[推算]</t>
        </is>
      </c>
    </row>
    <row r="36">
      <c r="A36" s="5" t="inlineStr">
        <is>
          <t>2026-08-07</t>
        </is>
      </c>
      <c r="B36" s="5" t="inlineStr">
        <is>
          <t>5b-BVPS-FY2021~25</t>
        </is>
      </c>
      <c r="C36" s="5" t="inlineStr">
        <is>
          <t>见备注</t>
        </is>
      </c>
      <c r="D36" s="5" t="inlineStr">
        <is>
          <t>归母权益÷总股本</t>
        </is>
      </c>
      <c r="E36" s="5" t="inlineStr">
        <is>
          <t>[推算]</t>
        </is>
      </c>
    </row>
    <row r="37">
      <c r="A37" s="5" t="inlineStr">
        <is>
          <t>2026-08-07</t>
        </is>
      </c>
      <c r="B37" s="5" t="inlineStr">
        <is>
          <t>5b-EPS-FY2021~25</t>
        </is>
      </c>
      <c r="C37" s="5" t="inlineStr">
        <is>
          <t>见备注</t>
        </is>
      </c>
      <c r="D37" s="5" t="inlineStr">
        <is>
          <t>归母净利÷总股本</t>
        </is>
      </c>
      <c r="E37" s="5" t="inlineStr">
        <is>
          <t>[推算]与年报披露基本EPS一致</t>
        </is>
      </c>
    </row>
    <row r="38">
      <c r="A38" s="5" t="inlineStr">
        <is>
          <t>2026-08-07</t>
        </is>
      </c>
      <c r="B38" s="5" t="inlineStr">
        <is>
          <t>5b-DPS-FY2021~25</t>
        </is>
      </c>
      <c r="C38" s="5" t="inlineStr">
        <is>
          <t>见备注</t>
        </is>
      </c>
      <c r="D38" s="5" t="inlineStr">
        <is>
          <t>各年年报利润分配预案（2025年报p63：每10股12.5228元）</t>
        </is>
      </c>
      <c r="E38" s="5" t="inlineStr">
        <is>
          <t>[年报披露]</t>
        </is>
      </c>
    </row>
    <row r="39">
      <c r="A39" s="5" t="inlineStr">
        <is>
          <t>2026-08-07</t>
        </is>
      </c>
      <c r="B39" s="5" t="inlineStr">
        <is>
          <t>5b-汇率-FY2021~25</t>
        </is>
      </c>
      <c r="C39" s="5" t="inlineStr">
        <is>
          <t>见备注</t>
        </is>
      </c>
      <c r="D39" s="5" t="inlineStr">
        <is>
          <t>A股人民币计价，无汇率问题</t>
        </is>
      </c>
      <c r="E39" s="5" t="inlineStr">
        <is>
          <t>—</t>
        </is>
      </c>
    </row>
    <row r="40">
      <c r="A40" s="5" t="inlineStr">
        <is>
          <t>2026-08-07</t>
        </is>
      </c>
      <c r="B40" s="5" t="inlineStr">
        <is>
          <t>S5-同行快照-修正</t>
        </is>
      </c>
      <c r="C40" s="5" t="inlineStr">
        <is>
          <t>见表</t>
        </is>
      </c>
      <c r="D40" s="5" t="inlineStr">
        <is>
          <t>东财snapshot 2026-08-07 + AKShare各同行FY2025利润表/现金流表</t>
        </is>
      </c>
      <c r="E40" s="5" t="inlineStr">
        <is>
          <t>首次写入列序错位已修正；金山PE/PB改用自算（67.1/9.59），东财f162=14.04异常弃用；ROE为东财TTM口径与FY25年报归母不同源，混排已标注</t>
        </is>
      </c>
    </row>
    <row r="41">
      <c r="A41" s="5" t="n"/>
      <c r="B41" s="5" t="n"/>
      <c r="C41" s="5" t="n"/>
      <c r="D41" s="5" t="n"/>
      <c r="E4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2026-08-03T03:23:30Z</dcterms:created>
  <dcterms:modified xmlns:dcterms="http://purl.org/dc/terms/" xmlns:xsi="http://www.w3.org/2001/XMLSchema-instance" xsi:type="dcterms:W3CDTF">2026-08-07T07:46:32Z</dcterms:modified>
</cp:coreProperties>
</file>
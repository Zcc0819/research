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说明" sheetId="1" state="visible" r:id="rId1"/>
    <sheet xmlns:r="http://schemas.openxmlformats.org/officeDocument/2006/relationships" name="1_分部拆解" sheetId="2" state="visible" r:id="rId2"/>
    <sheet xmlns:r="http://schemas.openxmlformats.org/officeDocument/2006/relationships" name="2_利润表五年" sheetId="3" state="visible" r:id="rId3"/>
    <sheet xmlns:r="http://schemas.openxmlformats.org/officeDocument/2006/relationships" name="3_现金流照妖镜" sheetId="4" state="visible" r:id="rId4"/>
    <sheet xmlns:r="http://schemas.openxmlformats.org/officeDocument/2006/relationships" name="4_资产负债偿债" sheetId="5" state="visible" r:id="rId5"/>
    <sheet xmlns:r="http://schemas.openxmlformats.org/officeDocument/2006/relationships" name="5_估值对比" sheetId="6" state="visible" r:id="rId6"/>
    <sheet xmlns:r="http://schemas.openxmlformats.org/officeDocument/2006/relationships" name="5b_股价与估值" sheetId="7" state="visible" r:id="rId7"/>
    <sheet xmlns:r="http://schemas.openxmlformats.org/officeDocument/2006/relationships" name="6_取数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#,##0.000"/>
    <numFmt numFmtId="167" formatCode="#,##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64" fontId="0" fillId="3" borderId="1" pivotButton="0" quotePrefix="0" xfId="0"/>
    <xf numFmtId="0" fontId="0" fillId="5" borderId="0" applyAlignment="1" pivotButton="0" quotePrefix="0" xfId="0">
      <alignment vertical="center" wrapText="1"/>
    </xf>
    <xf numFmtId="3" fontId="0" fillId="4" borderId="1" pivotButton="0" quotePrefix="0" xfId="0"/>
    <xf numFmtId="0" fontId="0" fillId="5" borderId="0" pivotButton="0" quotePrefix="0" xfId="0"/>
    <xf numFmtId="2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165" fontId="0" fillId="3" borderId="1" pivotButton="0" quotePrefix="0" xfId="0"/>
    <xf numFmtId="166" fontId="0" fillId="3" borderId="1" pivotButton="0" quotePrefix="0" xfId="0"/>
    <xf numFmtId="4" fontId="0" fillId="3" borderId="1" pivotButton="0" quotePrefix="0" xfId="0"/>
    <xf numFmtId="167" fontId="0" fillId="3" borderId="1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取数底稿模板（二级市场）—— 使用说明</t>
        </is>
      </c>
    </row>
    <row r="2">
      <c r="A2" s="2" t="inlineStr"/>
    </row>
    <row r="3">
      <c r="A3" s="1" t="inlineStr">
        <is>
          <t>一、这个文件怎么用</t>
        </is>
      </c>
    </row>
    <row r="4">
      <c r="A4" s="2" t="inlineStr">
        <is>
          <t>1. 每研究一个标的，复制本文件到 报告/ 目录，改名：YYYY-MM_标的名_取数底稿.xlsx</t>
        </is>
      </c>
    </row>
    <row r="5">
      <c r="A5" s="2" t="inlineStr">
        <is>
          <t>2. 黄色格子 = 手填原始数据（从年报抄）；灰色格子 = 公式自动计算，别碰；橙色格子 = 填你的判断</t>
        </is>
      </c>
    </row>
    <row r="6">
      <c r="A6" s="2" t="inlineStr">
        <is>
          <t>3. 铁律：每个手填数字必须同步在「6_取数日志」登记出处（报告名+页码/附注号）。查不到出处的数字 = 没有的数字</t>
        </is>
      </c>
    </row>
    <row r="7">
      <c r="A7" s="2" t="inlineStr">
        <is>
          <t>4. 单位统一：金额一律用【百万】（港股年报多为千元，抄的时候除以 1000），比率保留 1 位小数</t>
        </is>
      </c>
    </row>
    <row r="8">
      <c r="A8" s="2" t="inlineStr"/>
    </row>
    <row r="9">
      <c r="A9" s="1" t="inlineStr">
        <is>
          <t>二、各 Sheet 对应 memo 的哪一节</t>
        </is>
      </c>
    </row>
    <row r="10">
      <c r="A10" s="2" t="inlineStr">
        <is>
          <t>1_分部拆解      → memo 第 3 节「主营拆解：收入质量分层表」</t>
        </is>
      </c>
    </row>
    <row r="11">
      <c r="A11" s="2" t="inlineStr">
        <is>
          <t>2_利润表五年    → memo 第 4 节「利润成色」</t>
        </is>
      </c>
    </row>
    <row r="12">
      <c r="A12" s="2" t="inlineStr">
        <is>
          <t>3_现金流照妖镜  → memo 第 4 节两大硬指标：经营现金流/净利润 5 年比值、自由现金流 5 年加总</t>
        </is>
      </c>
    </row>
    <row r="13">
      <c r="A13" s="2" t="inlineStr">
        <is>
          <t>4_资产负债偿债  → memo 第 4 节「应收款与减值、有息负债」</t>
        </is>
      </c>
    </row>
    <row r="14">
      <c r="A14" s="2" t="inlineStr">
        <is>
          <t>5_估值对比      → memo 第 5 节「价格隐含的预期」同行横向对比</t>
        </is>
      </c>
    </row>
    <row r="15">
      <c r="A15" s="2" t="inlineStr">
        <is>
          <t>5b_股价与估值   → memo 第 5 节纵向对比：历年股价、每股指标、当前估值分位、隐含预期敏感度</t>
        </is>
      </c>
    </row>
    <row r="16">
      <c r="A16" s="2" t="inlineStr">
        <is>
          <t>6_取数日志      → 全部数字的出处登记，复查和被质疑时的护身符</t>
        </is>
      </c>
    </row>
    <row r="17">
      <c r="A17" s="2" t="inlineStr"/>
    </row>
    <row r="18">
      <c r="A18" s="1" t="inlineStr">
        <is>
          <t>三、股价数据怎么来</t>
        </is>
      </c>
    </row>
    <row r="19">
      <c r="A19" s="2" t="inlineStr">
        <is>
          <t>· 跑 skill 脚本 fetch_stock_price.py，四个子命令：snapshot（现价/市值/PB）、daily（日线）、</t>
        </is>
      </c>
    </row>
    <row r="20">
      <c r="A20" s="2" t="inlineStr">
        <is>
          <t xml:space="preserve">  annual（年度聚合）、valuation（PB/PE/股息率日度序列＋历史分位）</t>
        </is>
      </c>
    </row>
    <row r="21">
      <c r="A21" s="2" t="inlineStr">
        <is>
          <t>· 铁律：股价是港元/人民币原币，每股指标（BVPS/EPS）多为人民币。跨币必须传年末汇率，</t>
        </is>
      </c>
    </row>
    <row r="22">
      <c r="A22" s="2" t="inlineStr">
        <is>
          <t xml:space="preserve">  否则汇率波动会污染整条分位序列。港股股息本就披露为港仙，与港元股价同币，不要再乘汇率</t>
        </is>
      </c>
    </row>
    <row r="23">
      <c r="A23" s="2" t="inlineStr">
        <is>
          <t>· 汇率没有现成序列时，可从股息附注反推：同一笔股息同时披露港仙额与人民币额，两者相除即当年汇率</t>
        </is>
      </c>
    </row>
    <row r="24">
      <c r="A24" s="2" t="inlineStr"/>
    </row>
    <row r="25">
      <c r="A25" s="1" t="inlineStr">
        <is>
          <t>四、北控水务取数提示（来自信息源与取数手册）</t>
        </is>
      </c>
    </row>
    <row r="26">
      <c r="A26" s="2" t="inlineStr">
        <is>
          <t>· 分部数据看年报「分部资料」附注；特许经营权应收款可能拆在多个附注里，要加总</t>
        </is>
      </c>
    </row>
    <row r="27">
      <c r="A27" s="2" t="inlineStr">
        <is>
          <t>· 建造收入是 BOT 模式下「赚未来自己的钱」，单独一行拆出来，别和运营收入混在一起</t>
        </is>
      </c>
    </row>
    <row r="28">
      <c r="A28" s="2" t="inlineStr">
        <is>
          <t>· 借贷成本看「借贷」附注，注意区分固定/浮动利率占比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3" t="inlineStr">
        <is>
          <t>分部收入拆解（单位：百万元）——宁水集团分产品口径；分地区毛利率见第28行区</t>
        </is>
      </c>
    </row>
    <row r="3">
      <c r="A3" s="4" t="inlineStr">
        <is>
          <t>分部/项目</t>
        </is>
      </c>
      <c r="B3" s="4" t="inlineStr">
        <is>
          <t>FY2021</t>
        </is>
      </c>
      <c r="C3" s="4" t="inlineStr">
        <is>
          <t>FY2022</t>
        </is>
      </c>
      <c r="D3" s="4" t="inlineStr">
        <is>
          <t>FY2023</t>
        </is>
      </c>
      <c r="E3" s="4" t="inlineStr">
        <is>
          <t>FY2024</t>
        </is>
      </c>
      <c r="F3" s="4" t="inlineStr">
        <is>
          <t>FY2025</t>
        </is>
      </c>
      <c r="G3" s="4" t="inlineStr">
        <is>
          <t>最新中报/TTM</t>
        </is>
      </c>
      <c r="H3" s="4" t="inlineStr">
        <is>
          <t>备注（口径变化必须记）</t>
        </is>
      </c>
    </row>
    <row r="4">
      <c r="A4" t="inlineStr">
        <is>
          <t>智能水表</t>
        </is>
      </c>
      <c r="B4" s="15" t="n">
        <v>981.09</v>
      </c>
      <c r="C4" s="15" t="n">
        <v>928.8200000000001</v>
      </c>
      <c r="D4" s="15" t="n">
        <v>1070.95</v>
      </c>
      <c r="E4" s="15" t="n">
        <v>833.52</v>
      </c>
      <c r="F4" s="15" t="n">
        <v>934.76</v>
      </c>
      <c r="G4" s="5" t="n"/>
      <c r="H4" s="5" t="inlineStr">
        <is>
          <t>各年报「分产品」表。单价[推算]=收入÷销量：248.1→238.8→234.0→221.6→199.4→188.0 元/只（六年-24.2%）；销量+36.2% 而收入仅+3.3%</t>
        </is>
      </c>
    </row>
    <row r="5">
      <c r="A5" t="inlineStr">
        <is>
          <t>机械水表</t>
        </is>
      </c>
      <c r="B5" s="15" t="n">
        <v>614.4</v>
      </c>
      <c r="C5" s="15" t="n">
        <v>537.86</v>
      </c>
      <c r="D5" s="15" t="n">
        <v>595.89</v>
      </c>
      <c r="E5" s="15" t="n">
        <v>548.11</v>
      </c>
      <c r="F5" s="15" t="n">
        <v>642.35</v>
      </c>
      <c r="G5" s="5" t="n"/>
      <c r="H5" s="5" t="inlineStr">
        <is>
          <t>FY2025 销量 908.27万只(+41.2%)、单价[推算]70.7元(-17%)。FY2025 营收+16.18% 主要由低价机械表冲量贡献</t>
        </is>
      </c>
    </row>
    <row r="6">
      <c r="A6" t="inlineStr">
        <is>
          <t>水表配件/材料/服务及其他</t>
        </is>
      </c>
      <c r="B6" s="15" t="n">
        <v>121.81</v>
      </c>
      <c r="C6" s="15" t="n">
        <v>88.31999999999999</v>
      </c>
      <c r="D6" s="15" t="n">
        <v>122.36</v>
      </c>
      <c r="E6" s="15" t="n">
        <v>118.87</v>
      </c>
      <c r="F6" s="15" t="n">
        <v>166.19</v>
      </c>
      <c r="G6" s="5" t="n"/>
      <c r="H6" s="5" t="inlineStr">
        <is>
          <t>[推算] 倒挤 = 营业收入 − 智能水表 − 机械水表；含配件、材料贸易、智慧水务系统集成与服务</t>
        </is>
      </c>
    </row>
    <row r="7">
      <c r="B7" s="5" t="n"/>
      <c r="C7" s="5" t="n"/>
      <c r="D7" s="5" t="n"/>
      <c r="E7" s="5" t="n"/>
      <c r="F7" s="5" t="n"/>
      <c r="G7" s="5" t="n"/>
      <c r="H7" s="5" t="n"/>
    </row>
    <row r="8">
      <c r="B8" s="5" t="n"/>
      <c r="C8" s="5" t="n"/>
      <c r="D8" s="5" t="n"/>
      <c r="E8" s="5" t="n"/>
      <c r="F8" s="5" t="n"/>
      <c r="G8" s="5" t="n"/>
      <c r="H8" s="5" t="n"/>
    </row>
    <row r="9">
      <c r="B9" s="5" t="n"/>
      <c r="C9" s="5" t="n"/>
      <c r="D9" s="5" t="n"/>
      <c r="E9" s="5" t="n"/>
      <c r="F9" s="5" t="n"/>
      <c r="G9" s="5" t="n"/>
      <c r="H9" s="5" t="n"/>
    </row>
    <row r="10">
      <c r="A10" s="3" t="inlineStr">
        <is>
          <t>收入合计</t>
        </is>
      </c>
      <c r="B10" s="6">
        <f>SUM(B4:B9)</f>
        <v/>
      </c>
      <c r="C10" s="6">
        <f>SUM(C4:C9)</f>
        <v/>
      </c>
      <c r="D10" s="6">
        <f>SUM(D4:D9)</f>
        <v/>
      </c>
      <c r="E10" s="6">
        <f>SUM(E4:E9)</f>
        <v/>
      </c>
      <c r="F10" s="6">
        <f>SUM(F4:F9)</f>
        <v/>
      </c>
      <c r="G10" s="6">
        <f>SUM(G4:G9)</f>
        <v/>
      </c>
    </row>
    <row r="12">
      <c r="A12" s="3" t="inlineStr">
        <is>
          <t>收入占比（自动）</t>
        </is>
      </c>
    </row>
    <row r="13">
      <c r="A13" t="inlineStr">
        <is>
          <t>智能水表</t>
        </is>
      </c>
      <c r="B13" s="7">
        <f>IF(B10=0,"",B4/B10)</f>
        <v/>
      </c>
      <c r="C13" s="7">
        <f>IF(C10=0,"",C4/C10)</f>
        <v/>
      </c>
      <c r="D13" s="7">
        <f>IF(D10=0,"",D4/D10)</f>
        <v/>
      </c>
      <c r="E13" s="7">
        <f>IF(E10=0,"",E4/E10)</f>
        <v/>
      </c>
      <c r="F13" s="7">
        <f>IF(F10=0,"",F4/F10)</f>
        <v/>
      </c>
      <c r="G13" s="7">
        <f>IF(G10=0,"",G4/G10)</f>
        <v/>
      </c>
    </row>
    <row r="14">
      <c r="A14" t="inlineStr">
        <is>
          <t>机械水表</t>
        </is>
      </c>
      <c r="B14" s="7">
        <f>IF(B10=0,"",B5/B10)</f>
        <v/>
      </c>
      <c r="C14" s="7">
        <f>IF(C10=0,"",C5/C10)</f>
        <v/>
      </c>
      <c r="D14" s="7">
        <f>IF(D10=0,"",D5/D10)</f>
        <v/>
      </c>
      <c r="E14" s="7">
        <f>IF(E10=0,"",E5/E10)</f>
        <v/>
      </c>
      <c r="F14" s="7">
        <f>IF(F10=0,"",F5/F10)</f>
        <v/>
      </c>
      <c r="G14" s="7">
        <f>IF(G10=0,"",G5/G10)</f>
        <v/>
      </c>
    </row>
    <row r="15">
      <c r="A15" t="inlineStr">
        <is>
          <t>水表配件/材料/服务及其他</t>
        </is>
      </c>
      <c r="B15" s="7">
        <f>IF(B10=0,"",B6/B10)</f>
        <v/>
      </c>
      <c r="C15" s="7">
        <f>IF(C10=0,"",C6/C10)</f>
        <v/>
      </c>
      <c r="D15" s="7">
        <f>IF(D10=0,"",D6/D10)</f>
        <v/>
      </c>
      <c r="E15" s="7">
        <f>IF(E10=0,"",E6/E10)</f>
        <v/>
      </c>
      <c r="F15" s="7">
        <f>IF(F10=0,"",F6/F10)</f>
        <v/>
      </c>
      <c r="G15" s="7">
        <f>IF(G10=0,"",G6/G10)</f>
        <v/>
      </c>
    </row>
    <row r="16">
      <c r="B16" s="7">
        <f>IF(B10=0,"",B7/B10)</f>
        <v/>
      </c>
      <c r="C16" s="7">
        <f>IF(C10=0,"",C7/C10)</f>
        <v/>
      </c>
      <c r="D16" s="7">
        <f>IF(D10=0,"",D7/D10)</f>
        <v/>
      </c>
      <c r="E16" s="7">
        <f>IF(E10=0,"",E7/E10)</f>
        <v/>
      </c>
      <c r="F16" s="7">
        <f>IF(F10=0,"",F7/F10)</f>
        <v/>
      </c>
      <c r="G16" s="7">
        <f>IF(G10=0,"",G7/G10)</f>
        <v/>
      </c>
    </row>
    <row r="17">
      <c r="B17" s="7">
        <f>IF(B10=0,"",B8/B10)</f>
        <v/>
      </c>
      <c r="C17" s="7">
        <f>IF(C10=0,"",C8/C10)</f>
        <v/>
      </c>
      <c r="D17" s="7">
        <f>IF(D10=0,"",D8/D10)</f>
        <v/>
      </c>
      <c r="E17" s="7">
        <f>IF(E10=0,"",E8/E10)</f>
        <v/>
      </c>
      <c r="F17" s="7">
        <f>IF(F10=0,"",F8/F10)</f>
        <v/>
      </c>
      <c r="G17" s="7">
        <f>IF(G10=0,"",G8/G10)</f>
        <v/>
      </c>
    </row>
    <row r="18">
      <c r="B18" s="7">
        <f>IF(B10=0,"",B9/B10)</f>
        <v/>
      </c>
      <c r="C18" s="7">
        <f>IF(C10=0,"",C9/C10)</f>
        <v/>
      </c>
      <c r="D18" s="7">
        <f>IF(D10=0,"",D9/D10)</f>
        <v/>
      </c>
      <c r="E18" s="7">
        <f>IF(E10=0,"",E9/E10)</f>
        <v/>
      </c>
      <c r="F18" s="7">
        <f>IF(F10=0,"",F9/F10)</f>
        <v/>
      </c>
      <c r="G18" s="7">
        <f>IF(G10=0,"",G9/G10)</f>
        <v/>
      </c>
    </row>
    <row r="20">
      <c r="A20" s="3" t="inlineStr">
        <is>
          <t>收入同比增速（自动）</t>
        </is>
      </c>
    </row>
    <row r="21">
      <c r="A21" t="inlineStr">
        <is>
          <t>智能水表</t>
        </is>
      </c>
      <c r="C21" s="7">
        <f>IF(OR(B4=0,B4=""),"",C4/B4-1)</f>
        <v/>
      </c>
      <c r="D21" s="7">
        <f>IF(OR(C4=0,C4=""),"",D4/C4-1)</f>
        <v/>
      </c>
      <c r="E21" s="7">
        <f>IF(OR(D4=0,D4=""),"",E4/D4-1)</f>
        <v/>
      </c>
      <c r="F21" s="7">
        <f>IF(OR(E4=0,E4=""),"",F4/E4-1)</f>
        <v/>
      </c>
    </row>
    <row r="22">
      <c r="A22" t="inlineStr">
        <is>
          <t>机械水表</t>
        </is>
      </c>
      <c r="C22" s="7">
        <f>IF(OR(B5=0,B5=""),"",C5/B5-1)</f>
        <v/>
      </c>
      <c r="D22" s="7">
        <f>IF(OR(C5=0,C5=""),"",D5/C5-1)</f>
        <v/>
      </c>
      <c r="E22" s="7">
        <f>IF(OR(D5=0,D5=""),"",E5/D5-1)</f>
        <v/>
      </c>
      <c r="F22" s="7">
        <f>IF(OR(E5=0,E5=""),"",F5/E5-1)</f>
        <v/>
      </c>
    </row>
    <row r="23">
      <c r="A23" t="inlineStr">
        <is>
          <t>水表配件/材料/服务及其他</t>
        </is>
      </c>
      <c r="C23" s="7">
        <f>IF(OR(B6=0,B6=""),"",C6/B6-1)</f>
        <v/>
      </c>
      <c r="D23" s="7">
        <f>IF(OR(C6=0,C6=""),"",D6/C6-1)</f>
        <v/>
      </c>
      <c r="E23" s="7">
        <f>IF(OR(D6=0,D6=""),"",E6/D6-1)</f>
        <v/>
      </c>
      <c r="F23" s="7">
        <f>IF(OR(E6=0,E6=""),"",F6/E6-1)</f>
        <v/>
      </c>
    </row>
    <row r="24">
      <c r="C24" s="7">
        <f>IF(OR(B7=0,B7=""),"",C7/B7-1)</f>
        <v/>
      </c>
      <c r="D24" s="7">
        <f>IF(OR(C7=0,C7=""),"",D7/C7-1)</f>
        <v/>
      </c>
      <c r="E24" s="7">
        <f>IF(OR(D7=0,D7=""),"",E7/D7-1)</f>
        <v/>
      </c>
      <c r="F24" s="7">
        <f>IF(OR(E7=0,E7=""),"",F7/E7-1)</f>
        <v/>
      </c>
    </row>
    <row r="25">
      <c r="C25" s="7">
        <f>IF(OR(B8=0,B8=""),"",C8/B8-1)</f>
        <v/>
      </c>
      <c r="D25" s="7">
        <f>IF(OR(C8=0,C8=""),"",D8/C8-1)</f>
        <v/>
      </c>
      <c r="E25" s="7">
        <f>IF(OR(D8=0,D8=""),"",E8/D8-1)</f>
        <v/>
      </c>
      <c r="F25" s="7">
        <f>IF(OR(E8=0,E8=""),"",F8/E8-1)</f>
        <v/>
      </c>
    </row>
    <row r="26">
      <c r="C26" s="7">
        <f>IF(OR(B9=0,B9=""),"",C9/B9-1)</f>
        <v/>
      </c>
      <c r="D26" s="7">
        <f>IF(OR(C9=0,C9=""),"",D9/C9-1)</f>
        <v/>
      </c>
      <c r="E26" s="7">
        <f>IF(OR(D9=0,D9=""),"",E9/D9-1)</f>
        <v/>
      </c>
      <c r="F26" s="7">
        <f>IF(OR(E9=0,E9=""),"",F9/E9-1)</f>
        <v/>
      </c>
    </row>
    <row r="28">
      <c r="A28" s="3" t="inlineStr">
        <is>
          <t>分部毛利率（年报有披露就填，没有就填分部业绩率）</t>
        </is>
      </c>
    </row>
    <row r="29">
      <c r="A29" t="inlineStr">
        <is>
          <t>智能水表</t>
        </is>
      </c>
      <c r="B29" s="8" t="n">
        <v>0.358</v>
      </c>
      <c r="C29" s="8" t="n">
        <v>0.3314</v>
      </c>
      <c r="D29" s="8" t="n">
        <v>0.3184</v>
      </c>
      <c r="E29" s="8" t="n">
        <v>0.1939</v>
      </c>
      <c r="F29" s="8" t="n">
        <v>0.1973</v>
      </c>
      <c r="G29" s="8" t="n"/>
      <c r="H29" t="inlineStr">
        <is>
          <t>★FY2024 起智能表毛利率(19.39%)首次低于机械表(21.82%)，产品升级溢价消失</t>
        </is>
      </c>
    </row>
    <row r="30">
      <c r="A30" t="inlineStr">
        <is>
          <t>机械水表</t>
        </is>
      </c>
      <c r="B30" s="8" t="n">
        <v>0.2279</v>
      </c>
      <c r="C30" s="8" t="n">
        <v>0.224</v>
      </c>
      <c r="D30" s="8" t="n">
        <v>0.2474</v>
      </c>
      <c r="E30" s="8" t="n">
        <v>0.2182</v>
      </c>
      <c r="F30" s="8" t="n">
        <v>0.2086</v>
      </c>
      <c r="G30" s="8" t="n"/>
    </row>
    <row r="31">
      <c r="A31" t="inlineStr">
        <is>
          <t>（分地区）境内销售</t>
        </is>
      </c>
      <c r="B31" s="8" t="n">
        <v>0.3187</v>
      </c>
      <c r="C31" s="8" t="n">
        <v>0.2919</v>
      </c>
      <c r="D31" s="8" t="n">
        <v>0.2905</v>
      </c>
      <c r="E31" s="8" t="n">
        <v>0.2001</v>
      </c>
      <c r="F31" s="8" t="n">
        <v>0.1835</v>
      </c>
      <c r="G31" s="8" t="n"/>
      <c r="H31" t="inlineStr">
        <is>
          <t>★内销毛利率五年崩塌 13.5pct；外销反而稳定在 25.5%~28.8%，说明降价压力来自国内水司招标</t>
        </is>
      </c>
    </row>
    <row r="32">
      <c r="A32" t="inlineStr">
        <is>
          <t>（分地区）境外销售</t>
        </is>
      </c>
      <c r="B32" s="8" t="n">
        <v>0.255</v>
      </c>
      <c r="C32" s="8" t="n">
        <v>0.2613</v>
      </c>
      <c r="D32" s="8" t="n">
        <v>0.2882</v>
      </c>
      <c r="E32" s="8" t="n">
        <v>0.2725</v>
      </c>
      <c r="F32" s="8" t="n">
        <v>0.2882</v>
      </c>
      <c r="G32" s="8" t="n"/>
    </row>
    <row r="33">
      <c r="A33" t="inlineStr">
        <is>
          <t>整体毛利率（营收-营业成本）</t>
        </is>
      </c>
      <c r="B33" s="8" t="n">
        <v>0.3073</v>
      </c>
      <c r="C33" s="8" t="n">
        <v>0.2835</v>
      </c>
      <c r="D33" s="8" t="n">
        <v>0.2329</v>
      </c>
      <c r="E33" s="8" t="n">
        <v>0.2115</v>
      </c>
      <c r="F33" s="8" t="n">
        <v>0.2043</v>
      </c>
      <c r="G33" s="8" t="n"/>
      <c r="H33" t="inlineStr">
        <is>
          <t>G列=2026Q1(单季)。FY2019 35.3%、FY2020 34.3% 未入表（模板只到FY2021），六年毛利率从 35.3% 单边降至 20.4%</t>
        </is>
      </c>
    </row>
    <row r="34">
      <c r="B34" s="8" t="n"/>
      <c r="C34" s="8" t="n"/>
      <c r="D34" s="8" t="n"/>
      <c r="E34" s="8" t="n"/>
      <c r="F34" s="8" t="n"/>
      <c r="G34" s="8" t="n"/>
    </row>
    <row r="36">
      <c r="A36" s="9" t="inlineStr">
        <is>
          <t>【本表判断】高质量收入（运营类）占比在［上升/下降］；建造收入依赖度［高/低/在退坡］→ 填 memo 第 3 节</t>
        </is>
      </c>
    </row>
  </sheetData>
  <mergeCells count="1">
    <mergeCell ref="A36:H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4" t="inlineStr">
        <is>
          <t>科目（单位：百万）</t>
        </is>
      </c>
      <c r="B1" s="4" t="inlineStr">
        <is>
          <t>FY2021</t>
        </is>
      </c>
      <c r="C1" s="4" t="inlineStr">
        <is>
          <t>FY2022</t>
        </is>
      </c>
      <c r="D1" s="4" t="inlineStr">
        <is>
          <t>FY2023</t>
        </is>
      </c>
      <c r="E1" s="4" t="inlineStr">
        <is>
          <t>FY2024</t>
        </is>
      </c>
      <c r="F1" s="4" t="inlineStr">
        <is>
          <t>FY2025</t>
        </is>
      </c>
      <c r="G1" s="4" t="inlineStr">
        <is>
          <t>最新中报/TTM</t>
        </is>
      </c>
      <c r="H1" s="4" t="inlineStr">
        <is>
          <t>备注/出处提示</t>
        </is>
      </c>
    </row>
    <row r="2">
      <c r="A2" t="inlineStr">
        <is>
          <t>营业收入</t>
        </is>
      </c>
      <c r="B2" s="15" t="n">
        <v>1717.3</v>
      </c>
      <c r="C2" s="15" t="n">
        <v>1555</v>
      </c>
      <c r="D2" s="15" t="n">
        <v>1789.2</v>
      </c>
      <c r="E2" s="15" t="n">
        <v>1500.5</v>
      </c>
      <c r="F2" s="15" t="n">
        <v>1743.3</v>
      </c>
      <c r="G2" s="15" t="n">
        <v>359.6</v>
      </c>
      <c r="H2" t="inlineStr">
        <is>
          <t>各年报合并利润表；G列=2026Q1(单季，+35.19% yoy)。FY2019 1371.1、FY2020 1590.2 未入表</t>
        </is>
      </c>
    </row>
    <row r="3">
      <c r="A3" t="inlineStr">
        <is>
          <t>毛利</t>
        </is>
      </c>
      <c r="B3" s="15" t="n">
        <v>527.7</v>
      </c>
      <c r="C3" s="15" t="n">
        <v>440.9</v>
      </c>
      <c r="D3" s="15" t="n">
        <v>416.7</v>
      </c>
      <c r="E3" s="15" t="n">
        <v>317.4</v>
      </c>
      <c r="F3" s="15" t="n">
        <v>356.2</v>
      </c>
      <c r="G3" s="15" t="n">
        <v>74.40000000000001</v>
      </c>
      <c r="H3" t="inlineStr">
        <is>
          <t>[推算] 毛利 = 营业收入 − 营业成本（东财 OPERATE_COST）</t>
        </is>
      </c>
    </row>
    <row r="4">
      <c r="A4" t="inlineStr">
        <is>
          <t>销售费用 + 管理费用</t>
        </is>
      </c>
      <c r="B4" s="15" t="n">
        <v>219.9</v>
      </c>
      <c r="C4" s="15" t="n">
        <v>249.6</v>
      </c>
      <c r="D4" s="15" t="n">
        <v>201</v>
      </c>
      <c r="E4" s="15" t="n">
        <v>187</v>
      </c>
      <c r="F4" s="15" t="n">
        <v>193.8</v>
      </c>
      <c r="G4" s="15" t="n">
        <v>43.5</v>
      </c>
      <c r="H4" t="inlineStr">
        <is>
          <t>研发费用另计：62.7 / 60.3 / 69.7 / 73.6 / 76.9 / 18.4（未并入本行）。FY2022 销售费用 173.7 为六年峰值</t>
        </is>
      </c>
    </row>
    <row r="5">
      <c r="A5" t="inlineStr">
        <is>
          <t>财务费用（借贷成本）</t>
        </is>
      </c>
      <c r="B5" s="15" t="n">
        <v>1.8</v>
      </c>
      <c r="C5" s="15" t="n">
        <v>-6.6</v>
      </c>
      <c r="D5" s="15" t="n">
        <v>-1.7</v>
      </c>
      <c r="E5" s="15" t="n">
        <v>-3.6</v>
      </c>
      <c r="F5" s="15" t="n">
        <v>-0.4</v>
      </c>
      <c r="G5" s="15" t="n">
        <v>1.6</v>
      </c>
      <c r="H5" t="inlineStr">
        <is>
          <t>负数=净收益（利息收入&gt;利息支出）。公司基本无有息负债，财务费用不是矛盾点</t>
        </is>
      </c>
    </row>
    <row r="6">
      <c r="A6" t="inlineStr">
        <is>
          <t>投资收益（含联营合营及处置子公司收益）</t>
        </is>
      </c>
      <c r="B6" s="15" t="n">
        <v>12.9</v>
      </c>
      <c r="C6" s="15" t="n">
        <v>4.5</v>
      </c>
      <c r="D6" s="15" t="n">
        <v>-0.1</v>
      </c>
      <c r="E6" s="15" t="n">
        <v>0</v>
      </c>
      <c r="F6" s="15" t="n">
        <v>49.5</v>
      </c>
      <c r="G6" s="15" t="n">
        <v>0.3</v>
      </c>
      <c r="H6" t="inlineStr">
        <is>
          <t>★FY2025 49.5 中含处置慈溪宁水 100% 股权收益；非流动性资产处置损益 40.7（FY2025年报 p.13-14）</t>
        </is>
      </c>
    </row>
    <row r="7">
      <c r="A7" t="inlineStr">
        <is>
          <t>除税前溢利</t>
        </is>
      </c>
      <c r="B7" s="15" t="n">
        <v>266.5</v>
      </c>
      <c r="C7" s="15" t="n">
        <v>142</v>
      </c>
      <c r="D7" s="15" t="n">
        <v>146.4</v>
      </c>
      <c r="E7" s="15" t="n">
        <v>56.3</v>
      </c>
      <c r="F7" s="15" t="n">
        <v>95.90000000000001</v>
      </c>
      <c r="G7" s="15" t="n">
        <v>11.9</v>
      </c>
    </row>
    <row r="8">
      <c r="A8" t="inlineStr">
        <is>
          <t>净利润</t>
        </is>
      </c>
      <c r="B8" s="15" t="n">
        <v>234.6</v>
      </c>
      <c r="C8" s="15" t="n">
        <v>125.6</v>
      </c>
      <c r="D8" s="15" t="n">
        <v>131.1</v>
      </c>
      <c r="E8" s="15" t="n">
        <v>52.3</v>
      </c>
      <c r="F8" s="15" t="n">
        <v>93.3</v>
      </c>
      <c r="G8" s="15" t="n">
        <v>10.8</v>
      </c>
    </row>
    <row r="9">
      <c r="A9" t="inlineStr">
        <is>
          <t>归母净利润</t>
        </is>
      </c>
      <c r="B9" s="15" t="n">
        <v>235.4</v>
      </c>
      <c r="C9" s="15" t="n">
        <v>126.4</v>
      </c>
      <c r="D9" s="15" t="n">
        <v>131.3</v>
      </c>
      <c r="E9" s="15" t="n">
        <v>52.4</v>
      </c>
      <c r="F9" s="15" t="n">
        <v>93.3</v>
      </c>
      <c r="G9" s="15" t="n">
        <v>10.8</v>
      </c>
      <c r="H9" t="inlineStr">
        <is>
          <t>G列 2026Q1 归母 10.8，同比 -61.82%（2025Q1 28.2）——增收不增利在最新季度加剧</t>
        </is>
      </c>
    </row>
    <row r="10">
      <c r="A10" t="inlineStr">
        <is>
          <t>非经常项目（出售收益/公允值变动/一次性减值）</t>
        </is>
      </c>
      <c r="B10" s="15" t="n">
        <v>21.2</v>
      </c>
      <c r="C10" s="15" t="n">
        <v>14.8</v>
      </c>
      <c r="D10" s="15" t="n">
        <v>11.3</v>
      </c>
      <c r="E10" s="15" t="n">
        <v>13</v>
      </c>
      <c r="F10" s="15" t="n">
        <v>44.9</v>
      </c>
      <c r="G10" s="5" t="n"/>
      <c r="H10" t="inlineStr">
        <is>
          <t>扣非附注：非经常性损益合计。FY2025 44.9 占归母 48.1%，为六年最高（FY2020 28.0 / FY2021 21.2 / FY2022 14.8 / FY2023 11.3 / FY2024 13.0）</t>
        </is>
      </c>
    </row>
    <row r="11">
      <c r="A11" t="inlineStr">
        <is>
          <t>毛利率（自动）</t>
        </is>
      </c>
      <c r="B11" s="7">
        <f>IF(B2=0,"",B3/B2)</f>
        <v/>
      </c>
      <c r="C11" s="7">
        <f>IF(C2=0,"",C3/C2)</f>
        <v/>
      </c>
      <c r="D11" s="7">
        <f>IF(D2=0,"",D3/D2)</f>
        <v/>
      </c>
      <c r="E11" s="7">
        <f>IF(E2=0,"",E3/E2)</f>
        <v/>
      </c>
      <c r="F11" s="7">
        <f>IF(F2=0,"",F3/F2)</f>
        <v/>
      </c>
      <c r="G11" s="7">
        <f>IF(G2=0,"",G3/G2)</f>
        <v/>
      </c>
    </row>
    <row r="12">
      <c r="A12" t="inlineStr">
        <is>
          <t>归母净利率（自动）</t>
        </is>
      </c>
      <c r="B12" s="7">
        <f>IF(B2=0,"",B9/B2)</f>
        <v/>
      </c>
      <c r="C12" s="7">
        <f>IF(C2=0,"",C9/C2)</f>
        <v/>
      </c>
      <c r="D12" s="7">
        <f>IF(D2=0,"",D9/D2)</f>
        <v/>
      </c>
      <c r="E12" s="7">
        <f>IF(E2=0,"",E9/E2)</f>
        <v/>
      </c>
      <c r="F12" s="7">
        <f>IF(F2=0,"",F9/F2)</f>
        <v/>
      </c>
      <c r="G12" s="7">
        <f>IF(G2=0,"",G9/G2)</f>
        <v/>
      </c>
    </row>
    <row r="13">
      <c r="A13" t="inlineStr">
        <is>
          <t>扣非归母净利润（自动=归母-非经常）</t>
        </is>
      </c>
      <c r="B13" s="10">
        <f>B9-B10</f>
        <v/>
      </c>
      <c r="C13" s="10">
        <f>C9-C10</f>
        <v/>
      </c>
      <c r="D13" s="10">
        <f>D9-D10</f>
        <v/>
      </c>
      <c r="E13" s="10">
        <f>E9-E10</f>
        <v/>
      </c>
      <c r="F13" s="10">
        <f>F9-F10</f>
        <v/>
      </c>
      <c r="G13" s="10">
        <f>G9-G10</f>
        <v/>
      </c>
    </row>
    <row r="15">
      <c r="A15" s="11" t="inlineStr">
        <is>
          <t>【本表判断】利润［真/有水分］，水分主要来自 ____ → 填 memo 第 4 节</t>
        </is>
      </c>
    </row>
  </sheetData>
  <mergeCells count="1">
    <mergeCell ref="A15:H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30" customWidth="1" min="9" max="9"/>
  </cols>
  <sheetData>
    <row r="1">
      <c r="A1" s="4" t="inlineStr">
        <is>
          <t>科目（单位：百万）</t>
        </is>
      </c>
      <c r="B1" s="4" t="inlineStr">
        <is>
          <t>FY2021</t>
        </is>
      </c>
      <c r="C1" s="4" t="inlineStr">
        <is>
          <t>FY2022</t>
        </is>
      </c>
      <c r="D1" s="4" t="inlineStr">
        <is>
          <t>FY2023</t>
        </is>
      </c>
      <c r="E1" s="4" t="inlineStr">
        <is>
          <t>FY2024</t>
        </is>
      </c>
      <c r="F1" s="4" t="inlineStr">
        <is>
          <t>FY2025</t>
        </is>
      </c>
      <c r="G1" s="4" t="inlineStr">
        <is>
          <t>最新中报/TTM</t>
        </is>
      </c>
      <c r="H1" s="4" t="inlineStr">
        <is>
          <t>5年合计(自动)</t>
        </is>
      </c>
      <c r="I1" s="4" t="inlineStr">
        <is>
          <t>备注</t>
        </is>
      </c>
    </row>
    <row r="2">
      <c r="A2" t="inlineStr">
        <is>
          <t>经营活动现金流净额</t>
        </is>
      </c>
      <c r="B2" s="15" t="n">
        <v>161</v>
      </c>
      <c r="C2" s="15" t="n">
        <v>84.3</v>
      </c>
      <c r="D2" s="15" t="n">
        <v>184.9</v>
      </c>
      <c r="E2" s="15" t="n">
        <v>83</v>
      </c>
      <c r="F2" s="15" t="n">
        <v>124.6</v>
      </c>
      <c r="G2" s="15" t="n">
        <v>-269.8</v>
      </c>
      <c r="H2" s="6">
        <f>SUM(B2:F2)</f>
        <v/>
      </c>
      <c r="I2" t="inlineStr">
        <is>
          <t>★G列=2026Q1 单季 OCF −269.8，为六年 Q1 最差（2021~2025 Q1 分别 −178.7/−197.3/−114.1/−181.9/−138.9）。Q1 为负是季节性，但幅度创新高</t>
        </is>
      </c>
    </row>
    <row r="3">
      <c r="A3" t="inlineStr">
        <is>
          <t>净利润（从Sheet2带出也行，手填）</t>
        </is>
      </c>
      <c r="B3" s="15" t="n">
        <v>234.6</v>
      </c>
      <c r="C3" s="15" t="n">
        <v>125.6</v>
      </c>
      <c r="D3" s="15" t="n">
        <v>131.1</v>
      </c>
      <c r="E3" s="15" t="n">
        <v>52.3</v>
      </c>
      <c r="F3" s="15" t="n">
        <v>93.3</v>
      </c>
      <c r="G3" s="15" t="n">
        <v>10.8</v>
      </c>
      <c r="H3" s="6">
        <f>SUM(B3:F3)</f>
        <v/>
      </c>
    </row>
    <row r="4">
      <c r="A4" t="inlineStr">
        <is>
          <t>购建固定/无形资产支出（资本开支，填负数）</t>
        </is>
      </c>
      <c r="B4" s="15" t="n">
        <v>-140.2</v>
      </c>
      <c r="C4" s="15" t="n">
        <v>-237.8</v>
      </c>
      <c r="D4" s="15" t="n">
        <v>-61.4</v>
      </c>
      <c r="E4" s="15" t="n">
        <v>-66.40000000000001</v>
      </c>
      <c r="F4" s="15" t="n">
        <v>-30.5</v>
      </c>
      <c r="G4" s="15" t="n">
        <v>-4.8</v>
      </c>
      <c r="H4" s="6">
        <f>SUM(B4:F4)</f>
        <v/>
      </c>
      <c r="I4" t="inlineStr">
        <is>
          <t>东财 CONSTRUCT_LONG_ASSET（购建固定/无形/长期资产支付的现金），按模板填负数。FY2022 −237.8 为智能水表产能扩建高峰</t>
        </is>
      </c>
    </row>
    <row r="5">
      <c r="A5" t="inlineStr">
        <is>
          <t>投资活动现金流净额</t>
        </is>
      </c>
      <c r="B5" s="15" t="n">
        <v>35.7</v>
      </c>
      <c r="C5" s="15" t="n">
        <v>-86.09999999999999</v>
      </c>
      <c r="D5" s="15" t="n">
        <v>-62.1</v>
      </c>
      <c r="E5" s="15" t="n">
        <v>-65.7</v>
      </c>
      <c r="F5" s="15" t="n">
        <v>22.8</v>
      </c>
      <c r="G5" s="15" t="n">
        <v>-9.6</v>
      </c>
      <c r="H5" s="6">
        <f>SUM(B5:F5)</f>
        <v/>
      </c>
    </row>
    <row r="6">
      <c r="A6" t="inlineStr">
        <is>
          <t>筹资活动现金流净额</t>
        </is>
      </c>
      <c r="B6" s="15" t="n">
        <v>-158.2</v>
      </c>
      <c r="C6" s="15" t="n">
        <v>-115</v>
      </c>
      <c r="D6" s="15" t="n">
        <v>-141</v>
      </c>
      <c r="E6" s="15" t="n">
        <v>-74.59999999999999</v>
      </c>
      <c r="F6" s="15" t="n">
        <v>-67.09999999999999</v>
      </c>
      <c r="G6" s="15" t="n">
        <v>9.9</v>
      </c>
      <c r="H6" s="6">
        <f>SUM(B6:F6)</f>
        <v/>
      </c>
    </row>
    <row r="7">
      <c r="A7" t="inlineStr">
        <is>
          <t>已派股息（填负数）</t>
        </is>
      </c>
      <c r="B7" s="15" t="n">
        <v>-83.59999999999999</v>
      </c>
      <c r="C7" s="15" t="n">
        <v>-163</v>
      </c>
      <c r="D7" s="15" t="n">
        <v>-63.8</v>
      </c>
      <c r="E7" s="15" t="n">
        <v>-61.3</v>
      </c>
      <c r="F7" s="15" t="n">
        <v>-41.1</v>
      </c>
      <c r="G7" s="15" t="n">
        <v>0</v>
      </c>
      <c r="H7" s="6">
        <f>SUM(B7:F7)</f>
        <v/>
      </c>
      <c r="I7" t="inlineStr">
        <is>
          <t>分配股利、利润或偿付利息支付的现金，填负数。FY2021 −163.0 对应 FY2020 每10股派8元</t>
        </is>
      </c>
    </row>
    <row r="8">
      <c r="A8" t="inlineStr">
        <is>
          <t>期末现金及等价物</t>
        </is>
      </c>
      <c r="B8" s="15" t="n">
        <v>541.7</v>
      </c>
      <c r="C8" s="15" t="n">
        <v>428</v>
      </c>
      <c r="D8" s="15" t="n">
        <v>402.8</v>
      </c>
      <c r="E8" s="15" t="n">
        <v>348.4</v>
      </c>
      <c r="F8" s="15" t="n">
        <v>428.4</v>
      </c>
      <c r="G8" s="15" t="n">
        <v>156</v>
      </c>
      <c r="H8" s="6">
        <f>SUM(B8:F8)</f>
        <v/>
      </c>
      <c r="I8" t="inlineStr">
        <is>
          <t>★用货币资金期末余额（东财 MONETARYFUNDS）；H列合计对余额类无意义，忽略。Q1 末货币资金六年腰斩：306.9→413.1→328.5→281.1→212.5→156.0</t>
        </is>
      </c>
    </row>
    <row r="9">
      <c r="A9" s="3" t="inlineStr">
        <is>
          <t>经营现金流/净利润（自动）★</t>
        </is>
      </c>
      <c r="B9" s="12">
        <f>IF(OR(B3=0,B3=""),"",B2/B3)</f>
        <v/>
      </c>
      <c r="C9" s="12">
        <f>IF(OR(C3=0,C3=""),"",C2/C3)</f>
        <v/>
      </c>
      <c r="D9" s="12">
        <f>IF(OR(D3=0,D3=""),"",D2/D3)</f>
        <v/>
      </c>
      <c r="E9" s="12">
        <f>IF(OR(E3=0,E3=""),"",E2/E3)</f>
        <v/>
      </c>
      <c r="F9" s="12">
        <f>IF(OR(F3=0,F3=""),"",F2/F3)</f>
        <v/>
      </c>
      <c r="G9" s="12">
        <f>IF(OR(G3=0,G3=""),"",G2/G3)</f>
        <v/>
      </c>
      <c r="H9" s="12">
        <f>IF(H3=0,"",H2/H3)</f>
        <v/>
      </c>
      <c r="I9" t="inlineStr">
        <is>
          <t>5年比值 &lt;0.8 = 利润含水</t>
        </is>
      </c>
    </row>
    <row r="10">
      <c r="A10" s="3" t="inlineStr">
        <is>
          <t>自由现金流 = 经营现金流 + 资本开支（自动）★</t>
        </is>
      </c>
      <c r="B10" s="6">
        <f>B2+B4</f>
        <v/>
      </c>
      <c r="C10" s="6">
        <f>C2+C4</f>
        <v/>
      </c>
      <c r="D10" s="6">
        <f>D2+D4</f>
        <v/>
      </c>
      <c r="E10" s="6">
        <f>E2+E4</f>
        <v/>
      </c>
      <c r="F10" s="6">
        <f>F2+F4</f>
        <v/>
      </c>
      <c r="G10" s="6">
        <f>G2+G4</f>
        <v/>
      </c>
      <c r="H10" s="6">
        <f>H2+H4</f>
        <v/>
      </c>
      <c r="I10" t="inlineStr">
        <is>
          <t>5年加总为负 = 一直在烧钱，分红靠借</t>
        </is>
      </c>
    </row>
    <row r="12">
      <c r="A12" s="11" t="inlineStr">
        <is>
          <t>【本表判断】现金［够/紧张］；分红资金来源是［经营现金流/借新还旧/卖资产］→ 填 memo 第 4 节</t>
        </is>
      </c>
    </row>
  </sheetData>
  <mergeCells count="1">
    <mergeCell ref="A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4" t="inlineStr">
        <is>
          <t>科目（单位：百万）</t>
        </is>
      </c>
      <c r="B1" s="4" t="inlineStr">
        <is>
          <t>FY2021</t>
        </is>
      </c>
      <c r="C1" s="4" t="inlineStr">
        <is>
          <t>FY2022</t>
        </is>
      </c>
      <c r="D1" s="4" t="inlineStr">
        <is>
          <t>FY2023</t>
        </is>
      </c>
      <c r="E1" s="4" t="inlineStr">
        <is>
          <t>FY2024</t>
        </is>
      </c>
      <c r="F1" s="4" t="inlineStr">
        <is>
          <t>FY2025</t>
        </is>
      </c>
      <c r="G1" s="4" t="inlineStr">
        <is>
          <t>最新中报/TTM</t>
        </is>
      </c>
      <c r="H1" s="4" t="inlineStr">
        <is>
          <t>备注/出处提示</t>
        </is>
      </c>
    </row>
    <row r="2">
      <c r="A2" t="inlineStr">
        <is>
          <t>总资产</t>
        </is>
      </c>
      <c r="B2" s="15" t="n">
        <v>2221</v>
      </c>
      <c r="C2" s="15" t="n">
        <v>2350.4</v>
      </c>
      <c r="D2" s="15" t="n">
        <v>2275.7</v>
      </c>
      <c r="E2" s="15" t="n">
        <v>2278.5</v>
      </c>
      <c r="F2" s="15" t="n">
        <v>2508.3</v>
      </c>
      <c r="G2" s="15" t="n">
        <v>2306.8</v>
      </c>
      <c r="H2" t="inlineStr">
        <is>
          <t>各年报合并资产负债表；G列=2026Q1</t>
        </is>
      </c>
    </row>
    <row r="3">
      <c r="A3" t="inlineStr">
        <is>
          <t>净资产（归母权益）</t>
        </is>
      </c>
      <c r="B3" s="15" t="n">
        <v>1596.3</v>
      </c>
      <c r="C3" s="15" t="n">
        <v>1533.3</v>
      </c>
      <c r="D3" s="15" t="n">
        <v>1610</v>
      </c>
      <c r="E3" s="15" t="n">
        <v>1606</v>
      </c>
      <c r="F3" s="15" t="n">
        <v>1631.9</v>
      </c>
      <c r="G3" s="15" t="n">
        <v>1642.6</v>
      </c>
    </row>
    <row r="4">
      <c r="A4" t="inlineStr">
        <is>
          <t>货币资金</t>
        </is>
      </c>
      <c r="B4" s="15" t="n">
        <v>541.7</v>
      </c>
      <c r="C4" s="15" t="n">
        <v>428</v>
      </c>
      <c r="D4" s="15" t="n">
        <v>402.8</v>
      </c>
      <c r="E4" s="15" t="n">
        <v>348.4</v>
      </c>
      <c r="F4" s="15" t="n">
        <v>428.4</v>
      </c>
      <c r="G4" s="15" t="n">
        <v>156</v>
      </c>
    </row>
    <row r="5">
      <c r="A5" t="inlineStr">
        <is>
          <t>短期借贷（短期借款+一年内到期非流动负债）</t>
        </is>
      </c>
      <c r="B5" s="15" t="n">
        <v>3.4</v>
      </c>
      <c r="C5" s="15" t="n">
        <v>87.2</v>
      </c>
      <c r="D5" s="15" t="n">
        <v>10.9</v>
      </c>
      <c r="E5" s="15" t="n">
        <v>1</v>
      </c>
      <c r="F5" s="15" t="n">
        <v>0.5</v>
      </c>
      <c r="G5" s="15" t="n">
        <v>10.5</v>
      </c>
      <c r="H5" t="inlineStr">
        <is>
          <t>SHORT_LOAN + NONCURRENT_LIAB_1YEAR。FY2024/FY2025 短期借款为 0；2026Q1 重新出现 10.0 短期借款</t>
        </is>
      </c>
    </row>
    <row r="6">
      <c r="A6" t="inlineStr">
        <is>
          <t>长期借贷</t>
        </is>
      </c>
      <c r="B6" s="15" t="n">
        <v>0</v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t="inlineStr">
        <is>
          <t>长期借款六年均为 0（东财 LONG_LOAN 空）。无永续债、无公司债</t>
        </is>
      </c>
    </row>
    <row r="7">
      <c r="A7" t="inlineStr">
        <is>
          <t>永续证券（如有，实质是债）</t>
        </is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</row>
    <row r="8">
      <c r="A8" t="inlineStr">
        <is>
          <t>贸易应收款</t>
        </is>
      </c>
      <c r="B8" s="15" t="n">
        <v>663.1</v>
      </c>
      <c r="C8" s="15" t="n">
        <v>752.2</v>
      </c>
      <c r="D8" s="15" t="n">
        <v>766.1</v>
      </c>
      <c r="E8" s="15" t="n">
        <v>779.4</v>
      </c>
      <c r="F8" s="15" t="n">
        <v>807.9</v>
      </c>
      <c r="G8" s="15" t="n">
        <v>843.2</v>
      </c>
      <c r="H8" t="inlineStr">
        <is>
          <t>应收账款【净额】。余额口径：573.1(FY2020)/734.6/856.7/896.9/944.8/1011.6(FY2025)</t>
        </is>
      </c>
    </row>
    <row r="9">
      <c r="A9" t="inlineStr">
        <is>
          <t>应收票据 + 合同资产（准应收）★</t>
        </is>
      </c>
      <c r="B9" s="15" t="n">
        <v>14.3</v>
      </c>
      <c r="C9" s="15" t="n">
        <v>13.8</v>
      </c>
      <c r="D9" s="15" t="n">
        <v>25</v>
      </c>
      <c r="E9" s="15" t="n">
        <v>31.2</v>
      </c>
      <c r="F9" s="15" t="n">
        <v>54</v>
      </c>
      <c r="G9" s="15" t="n">
        <v>45.3</v>
      </c>
      <c r="H9" t="inlineStr">
        <is>
          <t>[推算] 应收票据 + 合同资产。应收款项融资科目东财未提供，若年报有披露需回补</t>
        </is>
      </c>
    </row>
    <row r="10">
      <c r="A10" t="inlineStr">
        <is>
          <t>应收账款坏账准备（拨备余额）</t>
        </is>
      </c>
      <c r="B10" s="15" t="n">
        <v>71.5</v>
      </c>
      <c r="C10" s="15" t="n">
        <v>104.5</v>
      </c>
      <c r="D10" s="15" t="n">
        <v>130.8</v>
      </c>
      <c r="E10" s="15" t="n">
        <v>165.4</v>
      </c>
      <c r="F10" s="15" t="n">
        <v>203.5</v>
      </c>
      <c r="G10" s="5" t="n"/>
      <c r="H10" t="inlineStr">
        <is>
          <t>★六年计提比例 8.39%→9.73%→12.20%→14.58%→17.51%→20.12%；政策未变（1年内5%/1-2年20%/2-3年50%/3年以上100%），全部由账龄自然后移驱动。3年以上余额 6.2百万→88.7百万（14.3倍）</t>
        </is>
      </c>
    </row>
    <row r="11">
      <c r="A11" t="inlineStr">
        <is>
          <t>平均融资成本 %（借贷附注）</t>
        </is>
      </c>
      <c r="B11" s="5" t="n"/>
      <c r="C11" s="5" t="n"/>
      <c r="D11" s="5" t="n"/>
      <c r="E11" s="5" t="n"/>
      <c r="F11" s="5" t="n"/>
      <c r="G11" s="5" t="n"/>
      <c r="H11" t="inlineStr">
        <is>
          <t>n/a：有息负债≈0，无借贷附注可取平均融资成本。本标的矛盾不在债务成本，在应收与存货占用</t>
        </is>
      </c>
    </row>
    <row r="12">
      <c r="A12" t="inlineStr">
        <is>
          <t>有息负债合计（自动）</t>
        </is>
      </c>
      <c r="B12" s="6">
        <f>B5+B6+B7</f>
        <v/>
      </c>
      <c r="C12" s="6">
        <f>C5+C6+C7</f>
        <v/>
      </c>
      <c r="D12" s="6">
        <f>D5+D6+D7</f>
        <v/>
      </c>
      <c r="E12" s="6">
        <f>E5+E6+E7</f>
        <v/>
      </c>
      <c r="F12" s="6">
        <f>F5+F6+F7</f>
        <v/>
      </c>
      <c r="G12" s="6">
        <f>G5+G6+G7</f>
        <v/>
      </c>
    </row>
    <row r="13">
      <c r="A13" t="inlineStr">
        <is>
          <t>净负债 = 有息负债-货币资金（自动）</t>
        </is>
      </c>
      <c r="B13" s="6">
        <f>B5+B6+B7-B4</f>
        <v/>
      </c>
      <c r="C13" s="6">
        <f>C5+C6+C7-C4</f>
        <v/>
      </c>
      <c r="D13" s="6">
        <f>D5+D6+D7-D4</f>
        <v/>
      </c>
      <c r="E13" s="6">
        <f>E5+E6+E7-E4</f>
        <v/>
      </c>
      <c r="F13" s="6">
        <f>F5+F6+F7-F4</f>
        <v/>
      </c>
      <c r="G13" s="6">
        <f>G5+G6+G7-G4</f>
        <v/>
      </c>
    </row>
    <row r="14">
      <c r="A14" t="inlineStr">
        <is>
          <t>净负债/净资产（自动）</t>
        </is>
      </c>
      <c r="B14" s="7">
        <f>IF(B3=0,"",(B5+B6+B7-B4)/B3)</f>
        <v/>
      </c>
      <c r="C14" s="7">
        <f>IF(C3=0,"",(C5+C6+C7-C4)/C3)</f>
        <v/>
      </c>
      <c r="D14" s="7">
        <f>IF(D3=0,"",(D5+D6+D7-D4)/D3)</f>
        <v/>
      </c>
      <c r="E14" s="7">
        <f>IF(E3=0,"",(E5+E6+E7-E4)/E3)</f>
        <v/>
      </c>
      <c r="F14" s="7">
        <f>IF(F3=0,"",(F5+F6+F7-F4)/F3)</f>
        <v/>
      </c>
      <c r="G14" s="7">
        <f>IF(G3=0,"",(G5+G6+G7-G4)/G3)</f>
        <v/>
      </c>
    </row>
    <row r="15">
      <c r="A15" t="inlineStr">
        <is>
          <t>两类应收合计占总资产（自动）★</t>
        </is>
      </c>
      <c r="B15" s="7">
        <f>IF(B2=0,"",(B8+B9)/B2)</f>
        <v/>
      </c>
      <c r="C15" s="7">
        <f>IF(C2=0,"",(C8+C9)/C2)</f>
        <v/>
      </c>
      <c r="D15" s="7">
        <f>IF(D2=0,"",(D8+D9)/D2)</f>
        <v/>
      </c>
      <c r="E15" s="7">
        <f>IF(E2=0,"",(E8+E9)/E2)</f>
        <v/>
      </c>
      <c r="F15" s="7">
        <f>IF(F2=0,"",(F8+F9)/F2)</f>
        <v/>
      </c>
      <c r="G15" s="7">
        <f>IF(G2=0,"",(G8+G9)/G2)</f>
        <v/>
      </c>
    </row>
    <row r="17">
      <c r="A17" s="11" t="inlineStr">
        <is>
          <t>【本表判断】债务［安全/危险］；应收占比趋势［改善/恶化］；ROIC vs 融资成本谁高 → 填 memo 第 4 节</t>
        </is>
      </c>
    </row>
  </sheetData>
  <mergeCells count="1"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30" customWidth="1" min="11" max="11"/>
  </cols>
  <sheetData>
    <row r="1">
      <c r="A1" s="4" t="inlineStr">
        <is>
          <t>公司</t>
        </is>
      </c>
      <c r="B1" s="4" t="inlineStr">
        <is>
          <t>代码</t>
        </is>
      </c>
      <c r="C1" s="4" t="inlineStr">
        <is>
          <t>市值(亿)</t>
        </is>
      </c>
      <c r="D1" s="4" t="inlineStr">
        <is>
          <t>PE（静态 FY2025）</t>
        </is>
      </c>
      <c r="E1" s="4" t="inlineStr">
        <is>
          <t>PB</t>
        </is>
      </c>
      <c r="F1" s="4" t="inlineStr">
        <is>
          <t>股息率（FY2025 DPS）</t>
        </is>
      </c>
      <c r="G1" s="4" t="inlineStr">
        <is>
          <t>ROE%（FY2025 加权）</t>
        </is>
      </c>
      <c r="H1" s="4" t="inlineStr">
        <is>
          <t>ROE÷PB★</t>
        </is>
      </c>
      <c r="I1" s="4" t="inlineStr">
        <is>
          <t>归母净利(亿)</t>
        </is>
      </c>
      <c r="J1" s="4" t="inlineStr">
        <is>
          <t>经营现金流(亿)</t>
        </is>
      </c>
      <c r="K1" s="4" t="inlineStr">
        <is>
          <t>一句话：它比本标的好/差在哪</t>
        </is>
      </c>
    </row>
    <row r="2">
      <c r="A2" t="inlineStr">
        <is>
          <t>宁水集团（本标的）</t>
        </is>
      </c>
      <c r="B2" s="5" t="inlineStr">
        <is>
          <t>603700.SH</t>
        </is>
      </c>
      <c r="C2" s="15" t="n">
        <v>23.2</v>
      </c>
      <c r="D2" s="15" t="n">
        <v>24.87</v>
      </c>
      <c r="E2" s="16" t="n">
        <v>1.422</v>
      </c>
      <c r="F2" s="8" t="n">
        <v>0.0259</v>
      </c>
      <c r="G2" s="15" t="n">
        <v>5.77</v>
      </c>
      <c r="H2" s="17" t="n">
        <v>4.06</v>
      </c>
      <c r="I2" s="16" t="n">
        <v>0.9330000000000001</v>
      </c>
      <c r="J2" s="16" t="n">
        <v>1.246</v>
      </c>
      <c r="K2" s="5" t="inlineStr">
        <is>
          <t>PB 最低，但 FY2025 归母 48% 来自非经常损益；扣非PE 46.4x。便宜是「利润塌了净资产没塌」造成的</t>
        </is>
      </c>
    </row>
    <row r="3">
      <c r="A3" t="inlineStr">
        <is>
          <t>新天科技</t>
        </is>
      </c>
      <c r="B3" s="5" t="inlineStr">
        <is>
          <t>300259.SZ</t>
        </is>
      </c>
      <c r="C3" s="15" t="n">
        <v>48.51</v>
      </c>
      <c r="D3" s="15" t="n">
        <v>19.61</v>
      </c>
      <c r="E3" s="16" t="n">
        <v>1.608</v>
      </c>
      <c r="F3" s="8" t="n">
        <v>0.0257</v>
      </c>
      <c r="G3" s="15" t="n">
        <v>8.289999999999999</v>
      </c>
      <c r="H3" s="17" t="n">
        <v>5.16</v>
      </c>
      <c r="I3" s="16" t="n">
        <v>2.474</v>
      </c>
      <c r="J3" s="16" t="n">
        <v>1.592</v>
      </c>
      <c r="K3" s="5" t="inlineStr">
        <is>
          <t>★ROE÷PB 第一：ROE、PE、净利率(23.5%)三项全面优于本标的。唯一短板 OCF/净利 0.64</t>
        </is>
      </c>
    </row>
    <row r="4">
      <c r="A4" t="inlineStr">
        <is>
          <t>汇中股份</t>
        </is>
      </c>
      <c r="B4" s="5" t="inlineStr">
        <is>
          <t>300371.SZ</t>
        </is>
      </c>
      <c r="C4" s="15" t="n">
        <v>20.83</v>
      </c>
      <c r="D4" s="15" t="n">
        <v>30.84</v>
      </c>
      <c r="E4" s="16" t="n">
        <v>1.77</v>
      </c>
      <c r="F4" s="8" t="n">
        <v>0.009599999999999999</v>
      </c>
      <c r="G4" s="15" t="n">
        <v>5.82</v>
      </c>
      <c r="H4" s="17" t="n">
        <v>3.29</v>
      </c>
      <c r="I4" s="16" t="n">
        <v>0.675</v>
      </c>
      <c r="J4" s="16" t="n">
        <v>1.563</v>
      </c>
      <c r="K4" s="5" t="inlineStr">
        <is>
          <t>现金转化最实（OCF/净利 2.31）、资产负债率仅 8.9%；但 PE 最贵、股息率最低</t>
        </is>
      </c>
    </row>
    <row r="5">
      <c r="A5" t="inlineStr">
        <is>
          <t>三川智慧</t>
        </is>
      </c>
      <c r="B5" s="5" t="inlineStr">
        <is>
          <t>300066.SZ</t>
        </is>
      </c>
      <c r="C5" s="15" t="n">
        <v>54.5</v>
      </c>
      <c r="D5" s="15" t="n">
        <v>36.09</v>
      </c>
      <c r="E5" s="16" t="n">
        <v>2.017</v>
      </c>
      <c r="F5" s="8" t="n">
        <v>0.009599999999999999</v>
      </c>
      <c r="G5" s="15" t="n">
        <v>5.56</v>
      </c>
      <c r="H5" s="17" t="n">
        <v>2.76</v>
      </c>
      <c r="I5" s="16" t="n">
        <v>1.51</v>
      </c>
      <c r="J5" s="16" t="n">
        <v>0.172</v>
      </c>
      <c r="K5" s="5" t="inlineStr">
        <is>
          <t>利润最含水：OCF/净利 0.11。同年 MD&amp;A 自认「存量水表主动更换节奏被迫放缓」</t>
        </is>
      </c>
    </row>
    <row r="6">
      <c r="A6" t="inlineStr">
        <is>
          <t>威派格</t>
        </is>
      </c>
      <c r="B6" s="5" t="inlineStr">
        <is>
          <t>603956.SH</t>
        </is>
      </c>
      <c r="C6" s="15" t="n">
        <v>40.18</v>
      </c>
      <c r="D6" s="15" t="n">
        <v>-23.41</v>
      </c>
      <c r="E6" s="16" t="n">
        <v>2.089</v>
      </c>
      <c r="F6" s="5" t="inlineStr">
        <is>
          <t>—</t>
        </is>
      </c>
      <c r="G6" s="15" t="n">
        <v>-8.050000000000001</v>
      </c>
      <c r="H6" s="17" t="n">
        <v>-3.85</v>
      </c>
      <c r="I6" s="16" t="n">
        <v>-1.716</v>
      </c>
      <c r="J6" s="16" t="n">
        <v>0.749</v>
      </c>
      <c r="K6" s="5" t="inlineStr">
        <is>
          <t>赛道唯一亏损且 PB 最贵，ROE÷PB 为负=倒数第一。#15 对比基准</t>
        </is>
      </c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10">
      <c r="A10" s="5" t="inlineStr">
        <is>
          <t>口径：全部为自算[推算]。价格=2026-08-11 收盘（tencent 源，东财行情限流降级）；股本=东财 08-12 快照总股本；BVPS/EPS/加权ROE=FY2025 年报（东财加工）。未采用东财快照 PB（其隐含 BVPS≈7.94，口径不明，差异见 6_取数日志）。东财快照 ROE 0.57%~0.66% 是 2026Q1 单季数，不可当年度 ROE 用——此坑已在威派格 memo 中踩过，本表已纠正。纵向分位见 5b：PB/PE/股息率窗口仅 1300 交易日（2021-04-01 起，约五年四个月），股价窗口 1831 交易日（七年半），两者不同，不得混说。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4" t="n"/>
    </row>
    <row r="12">
      <c r="A12" s="9" t="inlineStr">
        <is>
          <t>【本表判断】同行里谁最便宜？先看 ROE÷PB 排序（账面回报÷买入价格），再问便宜是因为质量差还是市场没看见？→ 填 memo 第 5 节</t>
        </is>
      </c>
    </row>
    <row r="14">
      <c r="A14" t="inlineStr">
        <is>
          <t>⚠ 港股市值/股息用港元，A股用人民币，混排时必须在备注写清币种，不要直接比大小；PB/PE/ROE 是比值，跳币可比</t>
        </is>
      </c>
    </row>
  </sheetData>
  <mergeCells count="2">
    <mergeCell ref="A10:K10"/>
    <mergeCell ref="A12:K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6" customWidth="1" min="10" max="10"/>
  </cols>
  <sheetData>
    <row r="1">
      <c r="A1" s="3" t="inlineStr">
        <is>
          <t>股价与估值（数据源：fetch_stock_price.py / 东财公开接口；价格为交易货币原币）</t>
        </is>
      </c>
    </row>
    <row r="3">
      <c r="A3" s="3" t="inlineStr">
        <is>
          <t>A. 历年股价（annual 子命令；年末收盘为不复权，涨跌幅为前复权）</t>
        </is>
      </c>
    </row>
    <row r="4">
      <c r="A4" s="4" t="inlineStr">
        <is>
          <t>年度</t>
        </is>
      </c>
      <c r="B4" s="4" t="inlineStr">
        <is>
          <t>年末收盘</t>
        </is>
      </c>
      <c r="C4" s="4" t="inlineStr">
        <is>
          <t>年内均价</t>
        </is>
      </c>
      <c r="D4" s="4" t="inlineStr">
        <is>
          <t>年内最高</t>
        </is>
      </c>
      <c r="E4" s="4" t="inlineStr">
        <is>
          <t>年内最低</t>
        </is>
      </c>
      <c r="F4" s="4" t="inlineStr">
        <is>
          <t>年度涨跌%</t>
        </is>
      </c>
      <c r="G4" s="4" t="inlineStr">
        <is>
          <t>年末市值(亿)</t>
        </is>
      </c>
      <c r="H4" s="4" t="inlineStr"/>
      <c r="I4" s="4" t="inlineStr"/>
      <c r="J4" s="4" t="inlineStr">
        <is>
          <t>备注</t>
        </is>
      </c>
    </row>
    <row r="5">
      <c r="A5" s="5" t="n">
        <v>2019</v>
      </c>
      <c r="B5" s="17" t="n">
        <v>23.03</v>
      </c>
      <c r="C5" s="17" t="n">
        <v>25.509</v>
      </c>
      <c r="D5" s="17" t="n">
        <v>36</v>
      </c>
      <c r="E5" s="17" t="n">
        <v>21.08</v>
      </c>
      <c r="F5" s="5" t="n"/>
      <c r="G5" s="15" t="n">
        <v>46.1</v>
      </c>
      <c r="J5" s="5" t="inlineStr">
        <is>
          <t>2019-01-22 上市，发行价 16.63 元，发行 PE 22.98x / PB 2.52x</t>
        </is>
      </c>
    </row>
    <row r="6">
      <c r="A6" s="5" t="n">
        <v>2020</v>
      </c>
      <c r="B6" s="17" t="n">
        <v>29.17</v>
      </c>
      <c r="C6" s="17" t="n">
        <v>31.567</v>
      </c>
      <c r="D6" s="17" t="n">
        <v>39.9</v>
      </c>
      <c r="E6" s="17" t="n">
        <v>23.22</v>
      </c>
      <c r="F6" s="15" t="n">
        <v>76.8</v>
      </c>
      <c r="G6" s="15" t="n">
        <v>58.3</v>
      </c>
      <c r="J6" s="5" t="inlineStr">
        <is>
          <t>区间最高 39.90。当年归母 2.731 亿为六年峰值</t>
        </is>
      </c>
    </row>
    <row r="7">
      <c r="A7" s="5" t="n">
        <v>2021</v>
      </c>
      <c r="B7" s="17" t="n">
        <v>19.38</v>
      </c>
      <c r="C7" s="17" t="n">
        <v>22.795</v>
      </c>
      <c r="D7" s="17" t="n">
        <v>29.49</v>
      </c>
      <c r="E7" s="17" t="n">
        <v>18.02</v>
      </c>
      <c r="F7" s="15" t="n">
        <v>-34.9</v>
      </c>
      <c r="G7" s="15" t="n">
        <v>38.8</v>
      </c>
      <c r="J7" s="5" t="inlineStr">
        <is>
          <t>毛利率开始下行，估值同步压缩</t>
        </is>
      </c>
    </row>
    <row r="8">
      <c r="A8" s="5" t="n">
        <v>2022</v>
      </c>
      <c r="B8" s="17" t="n">
        <v>13.15</v>
      </c>
      <c r="C8" s="17" t="n">
        <v>15.677</v>
      </c>
      <c r="D8" s="17" t="n">
        <v>21.87</v>
      </c>
      <c r="E8" s="17" t="n">
        <v>12.75</v>
      </c>
      <c r="F8" s="15" t="n">
        <v>-31</v>
      </c>
      <c r="G8" s="15" t="n">
        <v>26.3</v>
      </c>
      <c r="J8" s="5" t="inlineStr">
        <is>
          <t>营收 -9.5%、归母 -46.3%</t>
        </is>
      </c>
    </row>
    <row r="9">
      <c r="A9" s="5" t="n">
        <v>2023</v>
      </c>
      <c r="B9" s="17" t="n">
        <v>14.27</v>
      </c>
      <c r="C9" s="17" t="n">
        <v>14.093</v>
      </c>
      <c r="D9" s="17" t="n">
        <v>14.8</v>
      </c>
      <c r="E9" s="17" t="n">
        <v>13.03</v>
      </c>
      <c r="F9" s="15" t="n">
        <v>11.8</v>
      </c>
      <c r="G9" s="15" t="n">
        <v>28.5</v>
      </c>
      <c r="J9" s="5" t="inlineStr">
        <is>
          <t>全年振幅最小的一年（13.03~14.80）</t>
        </is>
      </c>
    </row>
    <row r="10">
      <c r="A10" s="5" t="n">
        <v>2024</v>
      </c>
      <c r="B10" s="17" t="n">
        <v>10.01</v>
      </c>
      <c r="C10" s="17" t="n">
        <v>10.606</v>
      </c>
      <c r="D10" s="17" t="n">
        <v>14.51</v>
      </c>
      <c r="E10" s="17" t="n">
        <v>8.9</v>
      </c>
      <c r="F10" s="15" t="n">
        <v>-29.5</v>
      </c>
      <c r="G10" s="15" t="n">
        <v>20</v>
      </c>
      <c r="J10" s="5" t="inlineStr">
        <is>
          <t>区间最低 8.90。归母 0.524 亿见底</t>
        </is>
      </c>
    </row>
    <row r="11">
      <c r="A11" s="5" t="n">
        <v>2025</v>
      </c>
      <c r="B11" s="17" t="n">
        <v>13.59</v>
      </c>
      <c r="C11" s="17" t="n">
        <v>11.905</v>
      </c>
      <c r="D11" s="17" t="n">
        <v>15.68</v>
      </c>
      <c r="E11" s="17" t="n">
        <v>9.279999999999999</v>
      </c>
      <c r="F11" s="15" t="n">
        <v>39.7</v>
      </c>
      <c r="G11" s="15" t="n">
        <v>27.2</v>
      </c>
      <c r="J11" s="5" t="inlineStr">
        <is>
          <t>★单年 +39.7%。触发估值纪律#3：不得再说「市场很悲观」</t>
        </is>
      </c>
    </row>
    <row r="12">
      <c r="A12" s="5" t="inlineStr">
        <is>
          <t>2026 YTD</t>
        </is>
      </c>
      <c r="B12" s="17" t="n">
        <v>11.6</v>
      </c>
      <c r="C12" s="17" t="n">
        <v>12.66</v>
      </c>
      <c r="D12" s="17" t="n">
        <v>14.78</v>
      </c>
      <c r="E12" s="17" t="n">
        <v>10.64</v>
      </c>
      <c r="F12" s="15" t="n">
        <v>-11.6</v>
      </c>
      <c r="G12" s="15" t="n">
        <v>23.2</v>
      </c>
      <c r="J12" s="5" t="inlineStr">
        <is>
          <t>★全文唯一基准价 11.60 = 2026-08-11 收盘；市值 23.20 亿 = 11.60 × 1.9996 亿股。均价/高/低为 1-8月 YTD（147 交易日）。注：px_annual 年末收盘记 11.75，那是 08-12 盘中价（+1.29%），非收盘，全文不用</t>
        </is>
      </c>
    </row>
    <row r="13">
      <c r="A13" s="5" t="n"/>
      <c r="B13" s="5" t="n"/>
      <c r="C13" s="5" t="n"/>
      <c r="D13" s="5" t="n"/>
      <c r="E13" s="5" t="n"/>
      <c r="F13" s="5" t="n"/>
      <c r="G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J16" s="5" t="n"/>
    </row>
    <row r="18">
      <c r="A18" s="3" t="inlineStr">
        <is>
          <t>B. 每股指标与汇率（BVPS/EPS 从 Sheet2/Sheet4 除以股本；DPS 抄股息附注）</t>
        </is>
      </c>
    </row>
    <row r="19">
      <c r="A19" s="4" t="inlineStr">
        <is>
          <t>项目</t>
        </is>
      </c>
      <c r="B19" s="4" t="inlineStr">
        <is>
          <t>FY2021</t>
        </is>
      </c>
      <c r="C19" s="4" t="inlineStr">
        <is>
          <t>FY2022</t>
        </is>
      </c>
      <c r="D19" s="4" t="inlineStr">
        <is>
          <t>FY2023</t>
        </is>
      </c>
      <c r="E19" s="4" t="inlineStr">
        <is>
          <t>FY2024</t>
        </is>
      </c>
      <c r="F19" s="4" t="inlineStr">
        <is>
          <t>FY2025</t>
        </is>
      </c>
      <c r="G19" s="4" t="inlineStr">
        <is>
          <t>最新中报/TTM</t>
        </is>
      </c>
      <c r="H19" s="4" t="inlineStr">
        <is>
          <t>出处/口径</t>
        </is>
      </c>
    </row>
    <row r="20">
      <c r="A20" t="inlineStr">
        <is>
          <t>总股本（百万股）</t>
        </is>
      </c>
      <c r="B20" s="15" t="n">
        <v>203.2</v>
      </c>
      <c r="C20" s="15" t="n">
        <v>203.3</v>
      </c>
      <c r="D20" s="15" t="n">
        <v>203.4</v>
      </c>
      <c r="E20" s="15" t="n">
        <v>203.4</v>
      </c>
      <c r="F20" s="15" t="n">
        <v>200.1</v>
      </c>
      <c r="G20" s="15" t="n">
        <v>199.96</v>
      </c>
      <c r="H20" s="5" t="inlineStr">
        <is>
          <t>[推算] 归母权益÷BVPS；G列=东财 08-12 快照总股本 1.9996 亿股。差异来自历年回购注销</t>
        </is>
      </c>
    </row>
    <row r="21">
      <c r="A21" t="inlineStr">
        <is>
          <t>每股净资产 BVPS（原币，报表币）</t>
        </is>
      </c>
      <c r="B21" s="18" t="n">
        <v>7.8544</v>
      </c>
      <c r="C21" s="18" t="n">
        <v>7.5404</v>
      </c>
      <c r="D21" s="18" t="n">
        <v>7.9173</v>
      </c>
      <c r="E21" s="18" t="n">
        <v>7.8965</v>
      </c>
      <c r="F21" s="18" t="n">
        <v>8.155200000000001</v>
      </c>
      <c r="G21" s="18" t="n">
        <v>8.208600000000001</v>
      </c>
      <c r="H21" s="5" t="inlineStr">
        <is>
          <t>东财财务指标「每股净资产」；G列=2026Q1。六年 BVPS 只涨 14%，而 EPS 跌 60%</t>
        </is>
      </c>
    </row>
    <row r="22">
      <c r="A22" t="inlineStr">
        <is>
          <t>每股收益 EPS（报表币）</t>
        </is>
      </c>
      <c r="B22" s="18" t="n">
        <v>1.1543</v>
      </c>
      <c r="C22" s="18" t="n">
        <v>0.6181</v>
      </c>
      <c r="D22" s="18" t="n">
        <v>0.645</v>
      </c>
      <c r="E22" s="18" t="n">
        <v>0.2571</v>
      </c>
      <c r="F22" s="18" t="n">
        <v>0.4664</v>
      </c>
      <c r="G22" s="18" t="n">
        <v>0.0538</v>
      </c>
      <c r="H22" s="5" t="inlineStr">
        <is>
          <t>东财「摊薄每股收益」；扣非EPS：1.06/0.55/0.60/0.20/0.25</t>
        </is>
      </c>
    </row>
    <row r="23">
      <c r="A23" t="inlineStr">
        <is>
          <t>每股股息 DPS（含中期+末期，注明币种）</t>
        </is>
      </c>
      <c r="B23" s="17" t="n">
        <v>0.8</v>
      </c>
      <c r="C23" s="17" t="n">
        <v>0.3</v>
      </c>
      <c r="D23" s="17" t="n">
        <v>0.3</v>
      </c>
      <c r="E23" s="17" t="n">
        <v>0.2</v>
      </c>
      <c r="F23" s="17" t="n">
        <v>0.3</v>
      </c>
      <c r="G23" s="5" t="n"/>
      <c r="H23" s="5" t="inlineStr">
        <is>
          <t>各年分红方案（每10股派现÷10，含税，人民币）。FY2020 为 0.40。DPS 六年无趋势、绝对额小</t>
        </is>
      </c>
    </row>
    <row r="24">
      <c r="A24" t="inlineStr">
        <is>
          <t>汇率：报表币→股价币</t>
        </is>
      </c>
      <c r="B24" s="17" t="n">
        <v>1</v>
      </c>
      <c r="C24" s="17" t="n">
        <v>1</v>
      </c>
      <c r="D24" s="17" t="n">
        <v>1</v>
      </c>
      <c r="E24" s="17" t="n">
        <v>1</v>
      </c>
      <c r="F24" s="17" t="n">
        <v>1</v>
      </c>
      <c r="G24" s="17" t="n">
        <v>1</v>
      </c>
      <c r="H24" s="5" t="inlineStr">
        <is>
          <t>A股，报表币=股价币=人民币，无汇率污染（估值纪律#2：本标的所有锚都是 FX-free）</t>
        </is>
      </c>
    </row>
    <row r="26">
      <c r="A26" s="3" t="inlineStr">
        <is>
          <t>C. 当前估值与历史分位（valuation 子命令；分位窗口受 BVPS 覆盖年数限制，必须写清窗口）</t>
        </is>
      </c>
    </row>
    <row r="27">
      <c r="A27" s="4" t="inlineStr">
        <is>
          <t>指标</t>
        </is>
      </c>
      <c r="B27" s="4" t="inlineStr">
        <is>
          <t>当前值</t>
        </is>
      </c>
      <c r="C27" s="4" t="inlineStr">
        <is>
          <t>数值分位</t>
        </is>
      </c>
      <c r="D27" s="4" t="inlineStr">
        <is>
          <t>便宜程度分位</t>
        </is>
      </c>
      <c r="E27" s="4" t="inlineStr">
        <is>
          <t>区间下限</t>
        </is>
      </c>
      <c r="F27" s="4" t="inlineStr">
        <is>
          <t>区间上限</t>
        </is>
      </c>
      <c r="G27" s="4" t="inlineStr">
        <is>
          <t>中位</t>
        </is>
      </c>
      <c r="H27" s="4" t="inlineStr">
        <is>
          <t>25%档</t>
        </is>
      </c>
      <c r="I27" s="4" t="inlineStr">
        <is>
          <t>75%档</t>
        </is>
      </c>
      <c r="J27" s="4" t="inlineStr">
        <is>
          <t>分位窗口</t>
        </is>
      </c>
    </row>
    <row r="28">
      <c r="A28" t="inlineStr">
        <is>
          <t>股价（无汇率依赖）</t>
        </is>
      </c>
      <c r="B28" s="16" t="n">
        <v>11.6</v>
      </c>
      <c r="C28" s="8" t="n">
        <v>0.171</v>
      </c>
      <c r="D28" s="8" t="n">
        <v>0.829</v>
      </c>
      <c r="E28" s="16" t="n">
        <v>8.9</v>
      </c>
      <c r="F28" s="16" t="n">
        <v>39.9</v>
      </c>
      <c r="G28" s="16" t="n">
        <v>14.49</v>
      </c>
      <c r="H28" s="16" t="n">
        <v>12.46</v>
      </c>
      <c r="I28" s="16" t="n">
        <v>24.06</v>
      </c>
      <c r="J28" s="5" t="inlineStr">
        <is>
          <t>2019-01-22~2026-08-11，1831 交易日（七年半，含 2020 牛市与 2021-24 单边下行，混合牛熊）</t>
        </is>
      </c>
    </row>
    <row r="29">
      <c r="A29" t="inlineStr">
        <is>
          <t>PB</t>
        </is>
      </c>
      <c r="B29" s="16" t="n">
        <v>1.422</v>
      </c>
      <c r="C29" s="8" t="n">
        <v>0.205</v>
      </c>
      <c r="D29" s="8" t="n">
        <v>0.795</v>
      </c>
      <c r="E29" s="16" t="n">
        <v>1.127</v>
      </c>
      <c r="F29" s="16" t="n">
        <v>3.971</v>
      </c>
      <c r="G29" s="16" t="n">
        <v>1.7635</v>
      </c>
      <c r="H29" s="16" t="n">
        <v>1.4748</v>
      </c>
      <c r="I29" s="16" t="n">
        <v>1.9333</v>
      </c>
      <c r="J29" s="5" t="inlineStr">
        <is>
          <t>2021-04-01~2026-08-11，1300 交易日（约五年四个月）★窗口起点正好是 PB 高点(max 3.971)，以单边下行为主，会系统性高估「现在很便宜」</t>
        </is>
      </c>
    </row>
    <row r="30">
      <c r="A30" t="inlineStr">
        <is>
          <t>PE（静态）</t>
        </is>
      </c>
      <c r="B30" s="16" t="n">
        <v>24.87</v>
      </c>
      <c r="C30" s="8" t="n">
        <v>0.777</v>
      </c>
      <c r="D30" s="8" t="n">
        <v>0.223</v>
      </c>
      <c r="E30" s="16" t="n">
        <v>11.05</v>
      </c>
      <c r="F30" s="16" t="n">
        <v>57.49</v>
      </c>
      <c r="G30" s="16" t="n">
        <v>17.75</v>
      </c>
      <c r="H30" s="16" t="n">
        <v>14.26</v>
      </c>
      <c r="I30" s="16" t="n">
        <v>23.62</v>
      </c>
      <c r="J30" s="5" t="inlineStr">
        <is>
          <t>2021-04-01~2026-08-11，1300 交易日（约五年四个月）★窗口起点正好是 PB 高点(max 3.971)，以单边下行为主，会系统性高估「现在很便宜」</t>
        </is>
      </c>
    </row>
    <row r="31">
      <c r="A31" t="inlineStr">
        <is>
          <t>股息率 %</t>
        </is>
      </c>
      <c r="B31" s="16" t="n">
        <v>2.59</v>
      </c>
      <c r="C31" s="8" t="n">
        <v>0.591</v>
      </c>
      <c r="D31" s="8" t="n">
        <v>0.591</v>
      </c>
      <c r="E31" s="16" t="n">
        <v>1.35</v>
      </c>
      <c r="F31" s="16" t="n">
        <v>6.27</v>
      </c>
      <c r="G31" s="16" t="n">
        <v>2.21</v>
      </c>
      <c r="H31" s="16" t="n">
        <v>1.9</v>
      </c>
      <c r="I31" s="16" t="n">
        <v>3.0425</v>
      </c>
      <c r="J31" s="5" t="inlineStr">
        <is>
          <t>2021-04-01~2026-08-11，1300 交易日（约五年四个月）★窗口起点正好是 PB 高点(max 3.971)，以单边下行为主，会系统性高估「现在很便宜」</t>
        </is>
      </c>
    </row>
    <row r="33">
      <c r="A33" s="3" t="inlineStr">
        <is>
          <t>D. 价格隐含预期敏感度（把估值倒推成一个业务假设，这是 memo 第 5 节的核心）</t>
        </is>
      </c>
    </row>
    <row r="34">
      <c r="A34" s="2" t="inlineStr">
        <is>
          <t>计算式：隐含权益折价 = 归母权益(16.319亿) − 目标PB对应市值；隐含减值率 = 隐含权益折价 ÷ 应收账款账面价值(8.079亿)；对照账面拨备率 20.12%</t>
        </is>
      </c>
    </row>
    <row r="35">
      <c r="A35" s="4" t="inlineStr">
        <is>
          <t>PB 档位</t>
        </is>
      </c>
      <c r="B35" s="4" t="inlineStr">
        <is>
          <t>对应股价</t>
        </is>
      </c>
      <c r="C35" s="4" t="inlineStr">
        <is>
          <t>对应市值(亿)</t>
        </is>
      </c>
      <c r="D35" s="4" t="inlineStr">
        <is>
          <t>隐含权益折价(亿)</t>
        </is>
      </c>
      <c r="E35" s="4" t="inlineStr">
        <is>
          <t>隐含减值率</t>
        </is>
      </c>
      <c r="F35" s="4" t="inlineStr">
        <is>
          <t>vs 账面拨备率</t>
        </is>
      </c>
      <c r="G35" s="4" t="inlineStr"/>
      <c r="H35" s="4" t="inlineStr"/>
      <c r="I35" s="4" t="inlineStr"/>
      <c r="J35" s="4" t="inlineStr">
        <is>
          <t>档位含义</t>
        </is>
      </c>
    </row>
    <row r="36">
      <c r="A36" s="5" t="inlineStr">
        <is>
          <t>当前 PB 1.422</t>
        </is>
      </c>
      <c r="B36" s="17" t="n">
        <v>11.6</v>
      </c>
      <c r="C36" s="17" t="n">
        <v>23.19</v>
      </c>
      <c r="D36" s="17" t="n">
        <v>-6.87</v>
      </c>
      <c r="E36" s="8" t="n">
        <v>-0.8503218371382599</v>
      </c>
      <c r="F36" s="17" t="n">
        <v>-4.23</v>
      </c>
      <c r="J36" s="5" t="inlineStr">
        <is>
          <t>现价。市场给净资产 42% 溢价，对应收账款零折价预期</t>
        </is>
      </c>
    </row>
    <row r="37">
      <c r="A37" s="5" t="inlineStr">
        <is>
          <t>历史10%档 PB 1.292</t>
        </is>
      </c>
      <c r="B37" s="17" t="n">
        <v>10.54</v>
      </c>
      <c r="C37" s="17" t="n">
        <v>21.07</v>
      </c>
      <c r="D37" s="17" t="n">
        <v>-4.75</v>
      </c>
      <c r="E37" s="8" t="n">
        <v>-0.5879220438965223</v>
      </c>
      <c r="F37" s="17" t="n">
        <v>-2.92</v>
      </c>
      <c r="J37" s="5" t="inlineStr">
        <is>
          <t>五年四个月窗口最便宜十分位，仍高于净资产</t>
        </is>
      </c>
    </row>
    <row r="38">
      <c r="A38" s="5" t="inlineStr">
        <is>
          <t>历史25%档 PB 1.475</t>
        </is>
      </c>
      <c r="B38" s="17" t="n">
        <v>12.03</v>
      </c>
      <c r="C38" s="17" t="n">
        <v>24.05</v>
      </c>
      <c r="D38" s="17" t="n">
        <v>-7.73</v>
      </c>
      <c r="E38" s="8" t="n">
        <v>-0.9573002143829684</v>
      </c>
      <c r="F38" s="17" t="n">
        <v>-4.76</v>
      </c>
      <c r="J38" s="5" t="inlineStr">
        <is>
          <t>现价已低于此档——现价处于该窗口约 20 分位</t>
        </is>
      </c>
    </row>
    <row r="39">
      <c r="A39" s="5" t="inlineStr">
        <is>
          <t>历史中位 PB 1.764</t>
        </is>
      </c>
      <c r="B39" s="17" t="n">
        <v>14.39</v>
      </c>
      <c r="C39" s="17" t="n">
        <v>28.77</v>
      </c>
      <c r="D39" s="17" t="n">
        <v>-12.45</v>
      </c>
      <c r="E39" s="8" t="n">
        <v>-1.540635139358832</v>
      </c>
      <c r="F39" s="17" t="n">
        <v>-7.66</v>
      </c>
      <c r="J39" s="5" t="inlineStr">
        <is>
          <t>回中位=涨 24%，隐含市场更乐观</t>
        </is>
      </c>
    </row>
    <row r="40">
      <c r="A40" s="5" t="inlineStr">
        <is>
          <t>PB 1.00（破净）</t>
        </is>
      </c>
      <c r="B40" s="17" t="n">
        <v>8.16</v>
      </c>
      <c r="C40" s="17" t="n">
        <v>16.31</v>
      </c>
      <c r="D40" s="17" t="n">
        <v>0.01</v>
      </c>
      <c r="E40" s="8" t="n">
        <v>0.001468260923381194</v>
      </c>
      <c r="F40" s="17" t="n">
        <v>0.01</v>
      </c>
      <c r="J40" s="5" t="inlineStr">
        <is>
          <t>市场才刚开始「不给溢价」，仍未对应收打折</t>
        </is>
      </c>
    </row>
    <row r="41">
      <c r="A41" t="inlineStr">
        <is>
          <t>PB 0.80</t>
        </is>
      </c>
      <c r="B41" s="19" t="n">
        <v>6.52</v>
      </c>
      <c r="C41" s="19" t="n">
        <v>13.05</v>
      </c>
      <c r="D41" s="19" t="n">
        <v>3.27</v>
      </c>
      <c r="E41" s="20" t="n">
        <v>0.4051602505260548</v>
      </c>
      <c r="F41" s="19" t="n">
        <v>2.01</v>
      </c>
      <c r="J41" t="inlineStr">
        <is>
          <t>★此价市场才隐含约 40% 应收减值 ≈ 账面拨备率被追认一倍（2.0x）</t>
        </is>
      </c>
    </row>
    <row r="42">
      <c r="A42" s="9" t="inlineStr">
        <is>
          <t>【本表判断】当前价处于自身历史［便宜/中位/偏贵］一侧；价格隐含的假设是 ____；我的判断比市场更［乐观/悲观］→ 填 memo 第 0 节与第 5 节</t>
        </is>
      </c>
    </row>
    <row r="44">
      <c r="A44" s="2" t="inlineStr">
        <is>
          <t>⚠ 口径纪律：①股价分位窗口 1831 日 / PB·PE·股息率分位窗口 1300 日，两者不同，不得混说「七年半分位」；②PB 用归母权益自算，东财快照 PB 1.48 与自算 1.422 差 4%，隐含 BVPS≈7.94 口径不明，全文采用自算；③#16 隐含减值率为负 = 市值高于账面净资产 = 市场比我乐观，安全边际为零（红灯）。</t>
        </is>
      </c>
    </row>
  </sheetData>
  <mergeCells count="3">
    <mergeCell ref="A44:J44"/>
    <mergeCell ref="A34:J34"/>
    <mergeCell ref="A42:J4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0" customWidth="1" min="4" max="4"/>
    <col width="30" customWidth="1" min="5" max="5"/>
  </cols>
  <sheetData>
    <row r="1">
      <c r="A1" s="4" t="inlineStr">
        <is>
          <t>日期</t>
        </is>
      </c>
      <c r="B1" s="4" t="inlineStr">
        <is>
          <t>指标</t>
        </is>
      </c>
      <c r="C1" s="4" t="inlineStr">
        <is>
          <t>数值</t>
        </is>
      </c>
      <c r="D1" s="4" t="inlineStr">
        <is>
          <t>出处（报告名+页码/附注号，精确到页）</t>
        </is>
      </c>
      <c r="E1" s="4" t="inlineStr">
        <is>
          <t>备注（口径疑问记这里）</t>
        </is>
      </c>
    </row>
    <row r="2">
      <c r="A2" s="5" t="inlineStr">
        <is>
          <t>2026-08-12</t>
        </is>
      </c>
      <c r="B2" s="5" t="inlineStr">
        <is>
          <t>★锚点1-营业收入-FY2025</t>
        </is>
      </c>
      <c r="C2" s="5" t="inlineStr">
        <is>
          <t>1,743,261,902.82 元 = 1743.3 百万</t>
        </is>
      </c>
      <c r="D2" s="5" t="inlineStr">
        <is>
          <t>2025年报 p.141 合并利润表「一、营业总收入」</t>
        </is>
      </c>
      <c r="E2" s="5" t="inlineStr">
        <is>
          <t>★交叉验证通过：与东财 AKShare TOTAL_OPERATE_INCOME 完全一致</t>
        </is>
      </c>
    </row>
    <row r="3">
      <c r="A3" s="5" t="inlineStr">
        <is>
          <t>2026-08-12</t>
        </is>
      </c>
      <c r="B3" s="5" t="inlineStr">
        <is>
          <t>★锚点2-归属母公司净利润-FY2025</t>
        </is>
      </c>
      <c r="C3" s="5" t="inlineStr">
        <is>
          <t>93,348,9xx 元 ≈ 93.3 百万</t>
        </is>
      </c>
      <c r="D3" s="5" t="inlineStr">
        <is>
          <t>2025年报 p.13 主要会计数据 / p.142 合并利润表</t>
        </is>
      </c>
      <c r="E3" s="5" t="inlineStr">
        <is>
          <t>★交叉验证通过：与东财 PARENT_NETPROFIT 93.3 一致</t>
        </is>
      </c>
    </row>
    <row r="4">
      <c r="A4" s="5" t="inlineStr">
        <is>
          <t>2026-08-12</t>
        </is>
      </c>
      <c r="B4" s="5" t="inlineStr">
        <is>
          <t>★锚点3-资产总计-FY2025</t>
        </is>
      </c>
      <c r="C4" s="5" t="inlineStr">
        <is>
          <t>2,508,335,054.58 元 = 2508.3 百万</t>
        </is>
      </c>
      <c r="D4" s="5" t="inlineStr">
        <is>
          <t>2025年报 p.138 合并资产负债表「资产总计」</t>
        </is>
      </c>
      <c r="E4" s="5" t="inlineStr">
        <is>
          <t>★交叉验证通过：与东财 TOTAL_ASSETS 2508.3 一致。三锚点全过，东财口径可用于骨架</t>
        </is>
      </c>
    </row>
    <row r="5">
      <c r="A5" s="5" t="inlineStr">
        <is>
          <t>2026-08-12</t>
        </is>
      </c>
      <c r="B5" s="5" t="inlineStr">
        <is>
          <t>S1-智能水表收入-FY2020~FY2025</t>
        </is>
      </c>
      <c r="C5" s="5" t="inlineStr">
        <is>
          <t>905.30/981.09/928.82/1070.95/833.52/934.76 百万</t>
        </is>
      </c>
      <c r="D5" s="5" t="inlineStr">
        <is>
          <t>FY2020年报 p.24、FY2021 p.28-29、FY2022 p.29-30、FY2023 p.37、FY2024 p.46、FY2025 p.46「分产品」</t>
        </is>
      </c>
      <c r="E5" s="5" t="inlineStr">
        <is>
          <t>FY2021/FY2022 表格 pdfplumber 错行，改用 extract_tables 逐 cell 拼接后还原</t>
        </is>
      </c>
    </row>
    <row r="6">
      <c r="A6" s="5" t="inlineStr">
        <is>
          <t>2026-08-12</t>
        </is>
      </c>
      <c r="B6" s="5" t="inlineStr">
        <is>
          <t>S1-机械水表收入-FY2020~FY2025</t>
        </is>
      </c>
      <c r="C6" s="5" t="inlineStr">
        <is>
          <t>584.29/614.40/537.86/595.89/548.11/642.35 百万</t>
        </is>
      </c>
      <c r="D6" s="5" t="inlineStr">
        <is>
          <t>同上「分产品」表</t>
        </is>
      </c>
      <c r="E6" s="5" t="inlineStr">
        <is>
          <t>—</t>
        </is>
      </c>
    </row>
    <row r="7">
      <c r="A7" s="5" t="inlineStr">
        <is>
          <t>2026-08-12</t>
        </is>
      </c>
      <c r="B7" s="5" t="inlineStr">
        <is>
          <t>S1-其他收入-FY2021~FY2025</t>
        </is>
      </c>
      <c r="C7" s="5" t="inlineStr">
        <is>
          <t>121.81/88.32/122.36/118.87/166.19 百万</t>
        </is>
      </c>
      <c r="D7" s="5" t="inlineStr">
        <is>
          <t>[推算] 营业收入 − 智能水表 − 机械水表</t>
        </is>
      </c>
      <c r="E7" s="5" t="inlineStr">
        <is>
          <t>含配件、材料贸易、智慧水务系统集成与服务；年报未单独列示合计</t>
        </is>
      </c>
    </row>
    <row r="8">
      <c r="A8" s="5" t="inlineStr">
        <is>
          <t>2026-08-12</t>
        </is>
      </c>
      <c r="B8" s="5" t="inlineStr">
        <is>
          <t>S1-智能水表毛利率-FY2020~FY2025</t>
        </is>
      </c>
      <c r="C8" s="5" t="inlineStr">
        <is>
          <t>37.46/35.80/33.14/31.84/19.39/19.73 %</t>
        </is>
      </c>
      <c r="D8" s="5" t="inlineStr">
        <is>
          <t>同上「分产品」表毛利率列</t>
        </is>
      </c>
      <c r="E8" s="5" t="inlineStr">
        <is>
          <t>★FY2024 起首次低于机械水表毛利率</t>
        </is>
      </c>
    </row>
    <row r="9">
      <c r="A9" s="5" t="inlineStr">
        <is>
          <t>2026-08-12</t>
        </is>
      </c>
      <c r="B9" s="5" t="inlineStr">
        <is>
          <t>S1-机械水表毛利率-FY2020~FY2025</t>
        </is>
      </c>
      <c r="C9" s="5" t="inlineStr">
        <is>
          <t>29.77/22.79/22.40/24.74/21.82/20.86 %</t>
        </is>
      </c>
      <c r="D9" s="5" t="inlineStr">
        <is>
          <t>同上</t>
        </is>
      </c>
      <c r="E9" s="5" t="inlineStr">
        <is>
          <t>—</t>
        </is>
      </c>
    </row>
    <row r="10">
      <c r="A10" s="5" t="inlineStr">
        <is>
          <t>2026-08-12</t>
        </is>
      </c>
      <c r="B10" s="5" t="inlineStr">
        <is>
          <t>S1-境内/境外毛利率-FY2021~FY2025</t>
        </is>
      </c>
      <c r="C10" s="5" t="inlineStr">
        <is>
          <t>内销 31.87/29.19/29.05/20.01/18.35；外销 25.50/26.13/28.82/27.25/28.82 %</t>
        </is>
      </c>
      <c r="D10" s="5" t="inlineStr">
        <is>
          <t>各年报「分地区」表</t>
        </is>
      </c>
      <c r="E10" s="5" t="inlineStr">
        <is>
          <t>★内销五年降 13.5pct，外销稳定 → 降价压力来自国内水司招标</t>
        </is>
      </c>
    </row>
    <row r="11">
      <c r="A11" s="5" t="inlineStr">
        <is>
          <t>2026-08-12</t>
        </is>
      </c>
      <c r="B11" s="5" t="inlineStr">
        <is>
          <t>S1-智能水表产销量-FY2020~FY2025</t>
        </is>
      </c>
      <c r="C11" s="5" t="inlineStr">
        <is>
          <t>销量 364.95/410.86/397.02/483.39/418.10/497.13 万只</t>
        </is>
      </c>
      <c r="D11" s="5" t="inlineStr">
        <is>
          <t>各年报「产销量情况」表（FY2024 为 p.47，跨页需 extract_text）</t>
        </is>
      </c>
      <c r="E11" s="5" t="inlineStr">
        <is>
          <t>—</t>
        </is>
      </c>
    </row>
    <row r="12">
      <c r="A12" s="5" t="inlineStr">
        <is>
          <t>2026-08-12</t>
        </is>
      </c>
      <c r="B12" s="5" t="inlineStr">
        <is>
          <t>S1-机械水表产销量-FY2020~FY2025</t>
        </is>
      </c>
      <c r="C12" s="5" t="inlineStr">
        <is>
          <t>销量 820.70/828.77/681.10/774.71/643.43/908.27 万只</t>
        </is>
      </c>
      <c r="D12" s="5" t="inlineStr">
        <is>
          <t>同上</t>
        </is>
      </c>
      <c r="E12" s="5" t="inlineStr">
        <is>
          <t>★FY2025 +41.2%</t>
        </is>
      </c>
    </row>
    <row r="13">
      <c r="A13" s="5" t="inlineStr">
        <is>
          <t>2026-08-12</t>
        </is>
      </c>
      <c r="B13" s="5" t="inlineStr">
        <is>
          <t>S1-智能水表单价-FY2020~FY2025</t>
        </is>
      </c>
      <c r="C13" s="5" t="inlineStr">
        <is>
          <t>248.1/238.8/234.0/221.6/199.4/188.0 元/只</t>
        </is>
      </c>
      <c r="D13" s="5" t="inlineStr">
        <is>
          <t>[推算] 分产品收入 ÷ 销量</t>
        </is>
      </c>
      <c r="E13" s="5" t="inlineStr">
        <is>
          <t>六年 -24.2%；销量 +36.2% 而收入仅 +3.3%</t>
        </is>
      </c>
    </row>
    <row r="14">
      <c r="A14" s="5" t="inlineStr">
        <is>
          <t>2026-08-12</t>
        </is>
      </c>
      <c r="B14" s="5" t="inlineStr">
        <is>
          <t>S1-机械水表单价-FY2025</t>
        </is>
      </c>
      <c r="C14" s="5" t="inlineStr">
        <is>
          <t>70.7 元/只（-17% yoy）</t>
        </is>
      </c>
      <c r="D14" s="5" t="inlineStr">
        <is>
          <t>[推算] 642.35 百万 ÷ 908.27 万只</t>
        </is>
      </c>
      <c r="E14" s="5" t="inlineStr">
        <is>
          <t>FY2025 营收 +16.18% 主要由低价机械表冲量贡献</t>
        </is>
      </c>
    </row>
    <row r="15">
      <c r="A15" s="5" t="inlineStr">
        <is>
          <t>2026-08-12</t>
        </is>
      </c>
      <c r="B15" s="5" t="inlineStr">
        <is>
          <t>S1-库存量-FY2025</t>
        </is>
      </c>
      <c r="C15" s="5" t="inlineStr">
        <is>
          <t>智能 175.13 万只(+34.6%)、机械 149.63 万只(+58.8%)</t>
        </is>
      </c>
      <c r="D15" s="5" t="inlineStr">
        <is>
          <t>FY2025年报「产销量情况」库存量列</t>
        </is>
      </c>
      <c r="E15" s="5" t="inlineStr">
        <is>
          <t>★销量增长同时库存暴增，渠道消化能力待验</t>
        </is>
      </c>
    </row>
    <row r="16">
      <c r="A16" s="5" t="inlineStr">
        <is>
          <t>2026-08-12</t>
        </is>
      </c>
      <c r="B16" s="5" t="inlineStr">
        <is>
          <t>S1-前五客户集中度-FY2020~FY2025</t>
        </is>
      </c>
      <c r="C16" s="5" t="inlineStr">
        <is>
          <t>9.29/15.07/12.11/12.24/10.43/10.07 %</t>
        </is>
      </c>
      <c r="D16" s="5" t="inlineStr">
        <is>
          <t>各年报「主要销售客户」</t>
        </is>
      </c>
      <c r="E16" s="5" t="inlineStr">
        <is>
          <t>关联方销售均为 0；客户极度分散（下游 95%+ 为地方水司）</t>
        </is>
      </c>
    </row>
    <row r="17">
      <c r="A17" s="5" t="inlineStr">
        <is>
          <t>2026-08-12</t>
        </is>
      </c>
      <c r="B17" s="5" t="inlineStr">
        <is>
          <t>S1-前五供应商集中度-FY2020~FY2025</t>
        </is>
      </c>
      <c r="C17" s="5" t="inlineStr">
        <is>
          <t>30.77/28.66/28.33/30.90/33.22/35.17 %</t>
        </is>
      </c>
      <c r="D17" s="5" t="inlineStr">
        <is>
          <t>各年报「主要供应商」</t>
        </is>
      </c>
      <c r="E17" s="5" t="inlineStr">
        <is>
          <t>★采购端集中度上升、销售端分散 → 议价能力两头受挤</t>
        </is>
      </c>
    </row>
    <row r="18">
      <c r="A18" s="5" t="inlineStr">
        <is>
          <t>2026-08-12</t>
        </is>
      </c>
      <c r="B18" s="5" t="inlineStr">
        <is>
          <t>S2-营业收入-FY2021~FY2025</t>
        </is>
      </c>
      <c r="C18" s="5" t="inlineStr">
        <is>
          <t>1717.3/1555.0/1789.2/1500.5/1743.3 百万</t>
        </is>
      </c>
      <c r="D18" s="5" t="inlineStr">
        <is>
          <t>各年报合并利润表（FY2025 p.141）；东财 AKShare 交叉一致</t>
        </is>
      </c>
      <c r="E18" s="5" t="inlineStr">
        <is>
          <t>FY2019 1371.1、FY2020 1590.2（模板列位不够，未入表）</t>
        </is>
      </c>
    </row>
    <row r="19">
      <c r="A19" s="5" t="inlineStr">
        <is>
          <t>2026-08-12</t>
        </is>
      </c>
      <c r="B19" s="5" t="inlineStr">
        <is>
          <t>S2-营业成本-FY2021~FY2025</t>
        </is>
      </c>
      <c r="C19" s="5" t="inlineStr">
        <is>
          <t>1189.6/1114.1/1372.5/1183.1/1387.1 百万</t>
        </is>
      </c>
      <c r="D19" s="5" t="inlineStr">
        <is>
          <t>同上</t>
        </is>
      </c>
      <c r="E19" s="5" t="inlineStr">
        <is>
          <t>用于[推算]毛利</t>
        </is>
      </c>
    </row>
    <row r="20">
      <c r="A20" s="5" t="inlineStr">
        <is>
          <t>2026-08-12</t>
        </is>
      </c>
      <c r="B20" s="5" t="inlineStr">
        <is>
          <t>S2-毛利-FY2021~FY2025</t>
        </is>
      </c>
      <c r="C20" s="5" t="inlineStr">
        <is>
          <t>527.7/440.9/416.7/317.4/356.2 百万</t>
        </is>
      </c>
      <c r="D20" s="5" t="inlineStr">
        <is>
          <t>[推算] 营业收入 − 营业成本</t>
        </is>
      </c>
      <c r="E20" s="5" t="inlineStr">
        <is>
          <t>整体毛利率 30.7→28.4→23.3→21.2→20.4%</t>
        </is>
      </c>
    </row>
    <row r="21">
      <c r="A21" s="5" t="inlineStr">
        <is>
          <t>2026-08-12</t>
        </is>
      </c>
      <c r="B21" s="5" t="inlineStr">
        <is>
          <t>S2-销售+管理费用-FY2021~FY2025</t>
        </is>
      </c>
      <c r="C21" s="5" t="inlineStr">
        <is>
          <t>219.9/249.6/201.0/187.0/193.8 百万</t>
        </is>
      </c>
      <c r="D21" s="5" t="inlineStr">
        <is>
          <t>各年报合并利润表 销售费用+管理费用</t>
        </is>
      </c>
      <c r="E21" s="5" t="inlineStr">
        <is>
          <t>研发费用另计 62.7/60.3/69.7/73.6/76.9，未并入</t>
        </is>
      </c>
    </row>
    <row r="22">
      <c r="A22" s="5" t="inlineStr">
        <is>
          <t>2026-08-12</t>
        </is>
      </c>
      <c r="B22" s="5" t="inlineStr">
        <is>
          <t>S2-投资收益-FY2025</t>
        </is>
      </c>
      <c r="C22" s="5" t="inlineStr">
        <is>
          <t>49.5 百万</t>
        </is>
      </c>
      <c r="D22" s="5" t="inlineStr">
        <is>
          <t>FY2025年报合并利润表「投资收益」</t>
        </is>
      </c>
      <c r="E22" s="5" t="inlineStr">
        <is>
          <t>★含处置慈溪宁水 100% 股权收益；非流动性资产处置损益 40.7（p.13-14）</t>
        </is>
      </c>
    </row>
    <row r="23">
      <c r="A23" s="5" t="inlineStr">
        <is>
          <t>2026-08-12</t>
        </is>
      </c>
      <c r="B23" s="5" t="inlineStr">
        <is>
          <t>S2-归母净利润-FY2021~FY2025</t>
        </is>
      </c>
      <c r="C23" s="5" t="inlineStr">
        <is>
          <t>235.4/126.4/131.3/52.4/93.3 百万</t>
        </is>
      </c>
      <c r="D23" s="5" t="inlineStr">
        <is>
          <t>各年报合并利润表</t>
        </is>
      </c>
      <c r="E23" s="5" t="inlineStr">
        <is>
          <t>FY2019 212.3、FY2020 273.1</t>
        </is>
      </c>
    </row>
    <row r="24">
      <c r="A24" s="5" t="inlineStr">
        <is>
          <t>2026-08-12</t>
        </is>
      </c>
      <c r="B24" s="5" t="inlineStr">
        <is>
          <t>S2-非经常性损益-FY2020~FY2025</t>
        </is>
      </c>
      <c r="C24" s="5" t="inlineStr">
        <is>
          <t>28.0/21.2/14.8/11.3/13.0/44.9 百万</t>
        </is>
      </c>
      <c r="D24" s="5" t="inlineStr">
        <is>
          <t>FY2022年报 p.10、FY2023 p.13、FY2025 p.13-14 非经常性损益表</t>
        </is>
      </c>
      <c r="E24" s="5" t="inlineStr">
        <is>
          <t>★FY2025 占归母 48.1%，六年最高。明细：处置损益 40.7 / 政府补助 9.2 / 公允价值 2.1 / 减值转回 1.0 / 债务重组 -0.7 / 所得税影响 -6.7</t>
        </is>
      </c>
    </row>
    <row r="25">
      <c r="A25" s="5" t="inlineStr">
        <is>
          <t>2026-08-12</t>
        </is>
      </c>
      <c r="B25" s="5" t="inlineStr">
        <is>
          <t>S2-扣非归母净利润-FY2021~FY2025</t>
        </is>
      </c>
      <c r="C25" s="5" t="inlineStr">
        <is>
          <t>214.2/111.5/119.9/39.4/48.4 百万</t>
        </is>
      </c>
      <c r="D25" s="5" t="inlineStr">
        <is>
          <t>各年报扣非附注；底稿由公式[推算]=归母−非经常，结果与披露一致</t>
        </is>
      </c>
      <c r="E25" s="5" t="inlineStr">
        <is>
          <t>★FY2025 扣非仅 48.4，六年最低区；FY2020 峰值 245.1</t>
        </is>
      </c>
    </row>
    <row r="26">
      <c r="A26" s="5" t="inlineStr">
        <is>
          <t>2026-08-12</t>
        </is>
      </c>
      <c r="B26" s="5" t="inlineStr">
        <is>
          <t>S2-2026Q1</t>
        </is>
      </c>
      <c r="C26" s="5" t="inlineStr">
        <is>
          <t>营收 359.6(+35.19%)、归母 10.8(-61.82%)、毛利率 20.69%</t>
        </is>
      </c>
      <c r="D26" s="5" t="inlineStr">
        <is>
          <t>东财 stock_profit_sheet_by_report_em 2026-03-31</t>
        </is>
      </c>
      <c r="E26" s="5" t="inlineStr">
        <is>
          <t>PDF 未下载（2026Q1 报告非年报/中报，属季报）；数据为二手源，标 [推算] 使用</t>
        </is>
      </c>
    </row>
    <row r="27">
      <c r="A27" s="5" t="inlineStr">
        <is>
          <t>2026-08-12</t>
        </is>
      </c>
      <c r="B27" s="5" t="inlineStr">
        <is>
          <t>S3-经营现金流净额-FY2021~FY2025</t>
        </is>
      </c>
      <c r="C27" s="5" t="inlineStr">
        <is>
          <t>161.0/84.3/184.9/83.0/124.6 百万</t>
        </is>
      </c>
      <c r="D27" s="5" t="inlineStr">
        <is>
          <t>各年报合并现金流量表</t>
        </is>
      </c>
      <c r="E27" s="5" t="inlineStr">
        <is>
          <t>五年合计 637.8；OCF/净利五年比值 1.03</t>
        </is>
      </c>
    </row>
    <row r="28">
      <c r="A28" s="5" t="inlineStr">
        <is>
          <t>2026-08-12</t>
        </is>
      </c>
      <c r="B28" s="5" t="inlineStr">
        <is>
          <t>S3-资本开支-FY2021~FY2025</t>
        </is>
      </c>
      <c r="C28" s="5" t="inlineStr">
        <is>
          <t>-140.2/-237.8/-61.4/-66.4/-30.5 百万</t>
        </is>
      </c>
      <c r="D28" s="5" t="inlineStr">
        <is>
          <t>东财 CONSTRUCT_LONG_ASSET（购建固定/无形/长期资产支付现金）</t>
        </is>
      </c>
      <c r="E28" s="5" t="inlineStr">
        <is>
          <t>按模板填负数。FY2022 -237.8 为智能水表扩产高峰，FY2025 已缩至 -30.5（1/8）</t>
        </is>
      </c>
    </row>
    <row r="29">
      <c r="A29" s="5" t="inlineStr">
        <is>
          <t>2026-08-12</t>
        </is>
      </c>
      <c r="B29" s="5" t="inlineStr">
        <is>
          <t>S3-已派股息-FY2021~FY2025</t>
        </is>
      </c>
      <c r="C29" s="5" t="inlineStr">
        <is>
          <t>-83.6/-163.0/-63.8/-61.3/-41.1 百万</t>
        </is>
      </c>
      <c r="D29" s="5" t="inlineStr">
        <is>
          <t>东财 ASSIGN_DIVIDEND_PORFIT（分配股利/利润/偿付利息支付的现金）</t>
        </is>
      </c>
      <c r="E29" s="5" t="inlineStr">
        <is>
          <t>填负数。含利息支付，略高于纯现金分红额</t>
        </is>
      </c>
    </row>
    <row r="30">
      <c r="A30" s="5" t="inlineStr">
        <is>
          <t>2026-08-12</t>
        </is>
      </c>
      <c r="B30" s="5" t="inlineStr">
        <is>
          <t>S3-期末现金-FY2021~FY2025</t>
        </is>
      </c>
      <c r="C30" s="5" t="inlineStr">
        <is>
          <t>541.7/428.0/402.8/348.4/428.4 百万</t>
        </is>
      </c>
      <c r="D30" s="5" t="inlineStr">
        <is>
          <t>各年报合并资产负债表「货币资金」</t>
        </is>
      </c>
      <c r="E30" s="5" t="inlineStr">
        <is>
          <t>★用货币资金余额而非现金流量表期末现金等价物；H列合计对余额类无意义</t>
        </is>
      </c>
    </row>
    <row r="31">
      <c r="A31" s="5" t="inlineStr">
        <is>
          <t>2026-08-12</t>
        </is>
      </c>
      <c r="B31" s="5" t="inlineStr">
        <is>
          <t>S3-2026Q1 OCF</t>
        </is>
      </c>
      <c r="C31" s="5" t="inlineStr">
        <is>
          <t>-269.8 百万</t>
        </is>
      </c>
      <c r="D31" s="5" t="inlineStr">
        <is>
          <t>东财 stock_cash_flow_sheet_by_report_em 2026-03-31</t>
        </is>
      </c>
      <c r="E31" s="5" t="inlineStr">
        <is>
          <t>★六年 Q1 OCF 均为负（-178.7/-197.3/-114.1/-181.9/-138.9/-269.8）→ 季节性成立，但 2026 幅度创新高</t>
        </is>
      </c>
    </row>
    <row r="32">
      <c r="A32" s="5" t="inlineStr">
        <is>
          <t>2026-08-12</t>
        </is>
      </c>
      <c r="B32" s="5" t="inlineStr">
        <is>
          <t>S3-Q1末货币资金六年序列</t>
        </is>
      </c>
      <c r="C32" s="5" t="inlineStr">
        <is>
          <t>306.9/413.1/328.5/281.1/212.5/156.0 百万</t>
        </is>
      </c>
      <c r="D32" s="5" t="inlineStr">
        <is>
          <t>东财季报资产负债表 各年 03-31</t>
        </is>
      </c>
      <c r="E32" s="5" t="inlineStr">
        <is>
          <t>★六年腰斩 49%，同期应收 +45%、存货 +49% → 现金被应收与存货吃掉</t>
        </is>
      </c>
    </row>
    <row r="33">
      <c r="A33" s="5" t="inlineStr">
        <is>
          <t>2026-08-12</t>
        </is>
      </c>
      <c r="B33" s="5" t="inlineStr">
        <is>
          <t>S4-总资产/归母权益-FY2021~FY2025</t>
        </is>
      </c>
      <c r="C33" s="5" t="inlineStr">
        <is>
          <t>总资产 2221.0→2508.3；归母权益 1596.3→1631.9 百万</t>
        </is>
      </c>
      <c r="D33" s="5" t="inlineStr">
        <is>
          <t>各年报合并资产负债表（FY2025 p.138）</t>
        </is>
      </c>
      <c r="E33" s="5" t="inlineStr">
        <is>
          <t>★六年净资产只增 12%，同期归母净利跌 66% → PB 分母没塌、PE 分子塌了</t>
        </is>
      </c>
    </row>
    <row r="34">
      <c r="A34" s="5" t="inlineStr">
        <is>
          <t>2026-08-12</t>
        </is>
      </c>
      <c r="B34" s="5" t="inlineStr">
        <is>
          <t>S4-有息负债-FY2021~FY2025</t>
        </is>
      </c>
      <c r="C34" s="5" t="inlineStr">
        <is>
          <t>短期借贷 3.4/87.2/10.9/1.0/0.5；长期借款与永续均 0</t>
        </is>
      </c>
      <c r="D34" s="5" t="inlineStr">
        <is>
          <t>东财 SHORT_LOAN + NONCURRENT_LIAB_1YEAR / LONG_LOAN</t>
        </is>
      </c>
      <c r="E34" s="5" t="inlineStr">
        <is>
          <t>净现金公司，#5/#6/#10/#11 四项债务指标全部不构成矛盾；2026Q1 重现 10.0 短期借款</t>
        </is>
      </c>
    </row>
    <row r="35">
      <c r="A35" s="5" t="inlineStr">
        <is>
          <t>2026-08-12</t>
        </is>
      </c>
      <c r="B35" s="5" t="inlineStr">
        <is>
          <t>S4-应收账款净额-FY2021~FY2025</t>
        </is>
      </c>
      <c r="C35" s="5" t="inlineStr">
        <is>
          <t>663.1/752.2/766.1/779.4/807.9 百万</t>
        </is>
      </c>
      <c r="D35" s="5" t="inlineStr">
        <is>
          <t>各年报合并资产负债表</t>
        </is>
      </c>
      <c r="E35" s="5" t="inlineStr">
        <is>
          <t>2026Q1 843.2</t>
        </is>
      </c>
    </row>
    <row r="36">
      <c r="A36" s="5" t="inlineStr">
        <is>
          <t>2026-08-12</t>
        </is>
      </c>
      <c r="B36" s="5" t="inlineStr">
        <is>
          <t>S4-应收账款余额与账龄-FY2020~FY2025</t>
        </is>
      </c>
      <c r="C36" s="5" t="inlineStr">
        <is>
          <t>余额 573.1/734.6/856.7/896.9/944.8/1011.6 百万</t>
        </is>
      </c>
      <c r="D36" s="5" t="inlineStr">
        <is>
          <t>FY2020年报 p.177、FY2021 p.166-167、FY2022 p.156-157、FY2023 p.168、FY2024 p.188、FY2025 p.188/190</t>
        </is>
      </c>
      <c r="E36" s="5" t="inlineStr">
        <is>
          <t>★3年以上余额 6.2→88.7 百万（14.3倍）；1年内占比 87.1%→65.3%</t>
        </is>
      </c>
    </row>
    <row r="37">
      <c r="A37" s="5" t="inlineStr">
        <is>
          <t>2026-08-12</t>
        </is>
      </c>
      <c r="B37" s="5" t="inlineStr">
        <is>
          <t>S4-坏账准备-FY2020~FY2025</t>
        </is>
      </c>
      <c r="C37" s="5" t="inlineStr">
        <is>
          <t>48.1/71.5/104.5/130.8/165.4/203.5 百万</t>
        </is>
      </c>
      <c r="D37" s="5" t="inlineStr">
        <is>
          <t>同上账龄附注</t>
        </is>
      </c>
      <c r="E37" s="5" t="inlineStr">
        <is>
          <t>★计提比例 8.39→9.73→12.20→14.58→17.51→20.12%；政策六年未变（1年内5%/1-2年20%/2-3年50%/3年以上100%）→ 全部由账龄自然后移驱动，不是政策变严</t>
        </is>
      </c>
    </row>
    <row r="38">
      <c r="A38" s="5" t="inlineStr">
        <is>
          <t>2026-08-12</t>
        </is>
      </c>
      <c r="B38" s="5" t="inlineStr">
        <is>
          <t>S4-应收票据+合同资产-FY2021~FY2025</t>
        </is>
      </c>
      <c r="C38" s="5" t="inlineStr">
        <is>
          <t>14.3/13.8/25.0/31.2/54.0 百万</t>
        </is>
      </c>
      <c r="D38" s="5" t="inlineStr">
        <is>
          <t>[推算] 东财 NOTE_RECE + CONTRACT_ASSET</t>
        </is>
      </c>
      <c r="E38" s="5" t="inlineStr">
        <is>
          <t>应收款项融资科目东财未提供；若年报有披露需回补</t>
        </is>
      </c>
    </row>
    <row r="39">
      <c r="A39" s="5" t="inlineStr">
        <is>
          <t>2026-08-12</t>
        </is>
      </c>
      <c r="B39" s="5" t="inlineStr">
        <is>
          <t>S4-其他应收款红旗-FY2025</t>
        </is>
      </c>
      <c r="C39" s="5" t="inlineStr">
        <is>
          <t>上海顾臻实业购房款 11,200,000.00 元，100% 全额计提</t>
        </is>
      </c>
      <c r="D39" s="5" t="inlineStr">
        <is>
          <t>FY2025年报 p.206 其他应收款附注</t>
        </is>
      </c>
      <c r="E39" s="5" t="inlineStr">
        <is>
          <t>★一笔购房款全额计提坏账，反映非经营性资金往来的风控问题</t>
        </is>
      </c>
    </row>
    <row r="40">
      <c r="A40" s="5" t="inlineStr">
        <is>
          <t>2026-08-12</t>
        </is>
      </c>
      <c r="B40" s="5" t="inlineStr">
        <is>
          <t>S4-应收账款/营业收入比-FY2020~FY2025</t>
        </is>
      </c>
      <c r="C40" s="5" t="inlineStr">
        <is>
          <t>33.02/38.61/48.37/42.82/51.94/46.35 %</t>
        </is>
      </c>
      <c r="D40" s="5" t="inlineStr">
        <is>
          <t>FY2020年报 p.100、FY2021 p.101[推算]、FY2022 p.104、FY2023 p.116、FY2024 p.132[推算]、FY2025 p.135（KAM 段落）</t>
        </is>
      </c>
      <c r="E40" s="5" t="inlineStr">
        <is>
          <t>两处为[推算]：年报 KAM 未直接给比值，用同页应收余额÷营收算</t>
        </is>
      </c>
    </row>
    <row r="41">
      <c r="A41" s="5" t="inlineStr">
        <is>
          <t>2026-08-12</t>
        </is>
      </c>
      <c r="B41" s="5" t="inlineStr">
        <is>
          <t>S4-存货-FY2021~FY2025</t>
        </is>
      </c>
      <c r="C41" s="5" t="inlineStr">
        <is>
          <t>341.3/424.5/339.1/375.9/461.9 百万</t>
        </is>
      </c>
      <c r="D41" s="5" t="inlineStr">
        <is>
          <t>各年报合并资产负债表</t>
        </is>
      </c>
      <c r="E41" s="5" t="inlineStr">
        <is>
          <t>2026Q1 503.9；存货周转天数 99.6/123.7/107.7/108.8/108.7 → 2026Q1 152.4</t>
        </is>
      </c>
    </row>
    <row r="42">
      <c r="A42" t="inlineStr">
        <is>
          <t>2026-08-12</t>
        </is>
      </c>
      <c r="B42" t="inlineStr">
        <is>
          <t>S5-同行收盘价-2026-08-11</t>
        </is>
      </c>
      <c r="C42" t="inlineStr">
        <is>
          <t>宁水 11.60 / 新天 4.20 / 汇中 10.35 / 三川 5.24 / 威派格 7.05 元</t>
        </is>
      </c>
      <c r="D42" t="inlineStr">
        <is>
          <t>fetch_stock_price.py --source tencent daily（东财行情限流 RemoteDisconnected 自动降级）</t>
        </is>
      </c>
      <c r="E42" t="inlineStr">
        <is>
          <t>★同一快照日。用 08-12 盘中价反推校验：11.60×1.0129=11.75 ✓ 与东财快照一致</t>
        </is>
      </c>
    </row>
    <row r="43">
      <c r="A43" t="inlineStr">
        <is>
          <t>2026-08-12</t>
        </is>
      </c>
      <c r="B43" t="inlineStr">
        <is>
          <t>S5-同行总股本</t>
        </is>
      </c>
      <c r="C43" t="inlineStr">
        <is>
          <t>宁水 1.9996 / 新天 11.5511 / 汇中 2.0122 / 三川 10.4003 / 威派格 5.6991 亿股</t>
        </is>
      </c>
      <c r="D43" t="inlineStr">
        <is>
          <t>东财 08-12 快照（fetch_stock_price.py snapshot --source em）</t>
        </is>
      </c>
      <c r="E43" t="inlineStr">
        <is>
          <t>★tencent 源对汇中返回 1.4002 亿（流通股本）会低估市值 30%，已弃用 tencent 股本</t>
        </is>
      </c>
    </row>
    <row r="44">
      <c r="A44" t="inlineStr">
        <is>
          <t>2026-08-12</t>
        </is>
      </c>
      <c r="B44" t="inlineStr">
        <is>
          <t>S5-同行 FY2025 加权ROE</t>
        </is>
      </c>
      <c r="C44" t="inlineStr">
        <is>
          <t>新天 8.29 / 汇中 5.82 / 宁水 5.77 / 三川 5.56 / 威派格 -8.05 %</t>
        </is>
      </c>
      <c r="D44" t="inlineStr">
        <is>
          <t>东财 stock_financial_analysis_indicator 年度加权ROE（peer_fin_annual.csv）</t>
        </is>
      </c>
      <c r="E44" t="inlineStr">
        <is>
          <t>★★口径纠错：威派格 memo 与《水务环保_赛道覆盖地图》第56条所记「同行 ROE 0.57%~0.66%、全行业微利」是错的——那是东财快照的 2026Q1【单季】加权ROE。年度口径下同行正常盈利，威派格是唯一亏损。此坑必须回填上游</t>
        </is>
      </c>
    </row>
    <row r="45">
      <c r="A45" t="inlineStr">
        <is>
          <t>2026-08-12</t>
        </is>
      </c>
      <c r="B45" t="inlineStr">
        <is>
          <t>S5-同行 BVPS/EPS FY2025</t>
        </is>
      </c>
      <c r="C45" t="inlineStr">
        <is>
          <t>BVPS 宁水 8.1552/新天 2.6121/汇中 5.8494/三川 2.5979/威派格 3.3754</t>
        </is>
      </c>
      <c r="D45" t="inlineStr">
        <is>
          <t>同上 peer_fin_annual.csv</t>
        </is>
      </c>
      <c r="E45" t="inlineStr">
        <is>
          <t>用于自算 PB/PE，保证同源同窗</t>
        </is>
      </c>
    </row>
    <row r="46">
      <c r="A46" t="inlineStr">
        <is>
          <t>2026-08-12</t>
        </is>
      </c>
      <c r="B46" t="inlineStr">
        <is>
          <t>S5-同行 PB[推算]</t>
        </is>
      </c>
      <c r="C46" t="inlineStr">
        <is>
          <t>宁水 1.422 / 新天 1.608 / 汇中 1.770 / 三川 2.017 / 威派格 2.089</t>
        </is>
      </c>
      <c r="D46" t="inlineStr">
        <is>
          <t>[推算] 2026-08-11 收盘 ÷ FY2025 BVPS</t>
        </is>
      </c>
      <c r="E46" t="inlineStr">
        <is>
          <t>★未采东财快照 PB（宁水 1.48，隐含 BVPS≈7.94，介于 FY2024 7.8965 与 FY2025 8.1552 之间，口径不明）</t>
        </is>
      </c>
    </row>
    <row r="47">
      <c r="A47" t="inlineStr">
        <is>
          <t>2026-08-12</t>
        </is>
      </c>
      <c r="B47" t="inlineStr">
        <is>
          <t>S5-#15 ROE÷PB 排序</t>
        </is>
      </c>
      <c r="C47" t="inlineStr">
        <is>
          <t>新天 5.16① / 宁水 4.06② / 汇中 3.29③ / 三川 2.76④ / 威派格 -3.85⑤</t>
        </is>
      </c>
      <c r="D47" t="inlineStr">
        <is>
          <t>[推算] FY2025 加权ROE ÷ 自算PB</t>
        </is>
      </c>
      <c r="E47" t="inlineStr">
        <is>
          <t>★★#15 触红：宁水非赛道最优，新天科技 ROE/PE/净利率三项全面更优 → 必须交「替代品一页纸」，对象是新天科技（非威派格）</t>
        </is>
      </c>
    </row>
    <row r="48">
      <c r="A48" t="inlineStr">
        <is>
          <t>2026-08-12</t>
        </is>
      </c>
      <c r="B48" t="inlineStr">
        <is>
          <t>S5-同行 FY2025 OCF/净利润</t>
        </is>
      </c>
      <c r="C48" t="inlineStr">
        <is>
          <t>汇中 2.31 / 宁水 1.34 / 新天 0.64 / 三川 0.11 / 威派格 -0.44</t>
        </is>
      </c>
      <c r="D48" t="inlineStr">
        <is>
          <t>东财 stock_cash_flow_sheet_by_yearly_em + profit_sheet 2025-12-31</t>
        </is>
      </c>
      <c r="E48" t="inlineStr">
        <is>
          <t>★三川利润严重含水（0.11）；汇中现金转化最实；宁水 1.34 在同行中偏好</t>
        </is>
      </c>
    </row>
    <row r="49">
      <c r="A49" t="inlineStr">
        <is>
          <t>2026-08-12</t>
        </is>
      </c>
      <c r="B49" t="inlineStr">
        <is>
          <t>S5b-历年股价-2019~2026YTD</t>
        </is>
      </c>
      <c r="C49" t="inlineStr">
        <is>
          <t>年末收盘 23.03/29.17/19.38/13.15/14.27/10.01/13.59/11.60（2026为YTD）</t>
        </is>
      </c>
      <c r="D49" t="inlineStr">
        <is>
          <t>fetch_stock_price.py --source tencent annual（东财降级）</t>
        </is>
      </c>
      <c r="E49" t="inlineStr">
        <is>
          <t>★2026 行记 11.60=08-11 收盘；px_annual.csv 里的 11.75 是 08-12 盘中价，全文不用</t>
        </is>
      </c>
    </row>
    <row r="50">
      <c r="A50" t="inlineStr">
        <is>
          <t>2026-08-12</t>
        </is>
      </c>
      <c r="B50" t="inlineStr">
        <is>
          <t>★S5b-全文唯一基准价</t>
        </is>
      </c>
      <c r="C50" t="inlineStr">
        <is>
          <t>11.60 元（2026-08-11 收盘）；市值 23.20 亿 = 11.60 × 1.9996 亿股</t>
        </is>
      </c>
      <c r="D50" t="inlineStr">
        <is>
          <t>fetch_stock_price.py daily 末行（px_daily_none.csv）</t>
        </is>
      </c>
      <c r="E50" t="inlineStr">
        <is>
          <t>★全文所有估值、买入价、市值口径统一用此价，不混用 08-12 盘中 11.75</t>
        </is>
      </c>
    </row>
    <row r="51">
      <c r="A51" t="inlineStr">
        <is>
          <t>2026-08-12</t>
        </is>
      </c>
      <c r="B51" t="inlineStr">
        <is>
          <t>S5b-每股股息 DPS-FY2020~FY2025</t>
        </is>
      </c>
      <c r="C51" t="inlineStr">
        <is>
          <t>0.40/0.80/0.30/0.30/0.20/0.30 元（每10股派现÷10，含税）</t>
        </is>
      </c>
      <c r="D51" t="inlineStr">
        <is>
          <t>各年报利润分配预案 / 分红实施公告</t>
        </is>
      </c>
      <c r="E51" t="inlineStr">
        <is>
          <t>纯现金分红额 80.86/161.64/60.10/—/39.98/59.45 百万；FY2021 占归母 68.68%（含回购口径 79.98%）</t>
        </is>
      </c>
    </row>
    <row r="52">
      <c r="A52" t="inlineStr">
        <is>
          <t>2026-08-12</t>
        </is>
      </c>
      <c r="B52" t="inlineStr">
        <is>
          <t>S5b-分位窗口-股价</t>
        </is>
      </c>
      <c r="C52" t="inlineStr">
        <is>
          <t>2019-01-22~2026-08-11，1831 交易日（七年半）</t>
        </is>
      </c>
      <c r="D52" t="inlineStr">
        <is>
          <t>px_valuation.csv close 列</t>
        </is>
      </c>
      <c r="E52" t="inlineStr">
        <is>
          <t>混合牛熊（含2020牛市与2021-24单边下行）</t>
        </is>
      </c>
    </row>
    <row r="53">
      <c r="A53" t="inlineStr">
        <is>
          <t>2026-08-12</t>
        </is>
      </c>
      <c r="B53" t="inlineStr">
        <is>
          <t>★S5b-分位窗口-PB/PE/股息率</t>
        </is>
      </c>
      <c r="C53" t="inlineStr">
        <is>
          <t>2021-04-01~2026-08-11，1300 交易日（约五年四个月）</t>
        </is>
      </c>
      <c r="D53" t="inlineStr">
        <is>
          <t>px_valuation.csv pb/pe/div_yield 非空区间</t>
        </is>
      </c>
      <c r="E53" t="inlineStr">
        <is>
          <t>★★与股价窗口不同！BVPS 只覆盖 FY2020-FY2025 六年，PB 序列 2021-04 才起。禁止写「七年半 PB 分位」。窗口起点正好是 PB 高点(max 3.971)、以单边下行为主 → 会系统性高估「现在便宜」，该偏差对「便宜」结论有利、对谨慎结论不利</t>
        </is>
      </c>
    </row>
    <row r="54">
      <c r="A54" t="inlineStr">
        <is>
          <t>2026-08-12</t>
        </is>
      </c>
      <c r="B54" t="inlineStr">
        <is>
          <t>S5b-#13 PB 便宜程度分位</t>
        </is>
      </c>
      <c r="C54" t="inlineStr">
        <is>
          <t>PB 1.422，数值分位 20.5%，便宜程度分位 79.5% 🟢</t>
        </is>
      </c>
      <c r="D54" t="inlineStr">
        <is>
          <t>[推算] px_valuation.csv 1300 日分布</t>
        </is>
      </c>
      <c r="E54" t="inlineStr">
        <is>
          <t>档位 10%=1.292→10.54元 / 25%=1.4748→12.03元 / 50%=1.7635→14.38元 / 75%=1.9333</t>
        </is>
      </c>
    </row>
    <row r="55">
      <c r="A55" t="inlineStr">
        <is>
          <t>2026-08-12</t>
        </is>
      </c>
      <c r="B55" t="inlineStr">
        <is>
          <t>S5b-PE 静态分位</t>
        </is>
      </c>
      <c r="C55" t="inlineStr">
        <is>
          <t>PE 24.87，数值分位 77.7%，便宜程度分位 22.3% 🔴</t>
        </is>
      </c>
      <c r="D55" t="inlineStr">
        <is>
          <t>同上</t>
        </is>
      </c>
      <c r="E55" t="inlineStr">
        <is>
          <t>★与 PB 分位严重矛盾（79.5% vs 22.3%）。根因：利润跌 66% 而净资产只涨 12% → 利润薄化 PE 分子。扣非PE[推算]=11.60/0.25=46.4x</t>
        </is>
      </c>
    </row>
    <row r="56">
      <c r="A56" t="inlineStr">
        <is>
          <t>2026-08-12</t>
        </is>
      </c>
      <c r="B56" t="inlineStr">
        <is>
          <t>S5b-#14 股息率分位</t>
        </is>
      </c>
      <c r="C56" t="inlineStr">
        <is>
          <t>2.59%，便宜程度分位 59.1% 🟡</t>
        </is>
      </c>
      <c r="D56" t="inlineStr">
        <is>
          <t>同上 div_yield 列</t>
        </is>
      </c>
      <c r="E56" t="inlineStr">
        <is>
          <t>档位 25%=1.90%→15.79元 / 50%=2.21%→13.57元 / 75%=3.0425%→9.86元。DPS 六年无上升趋势</t>
        </is>
      </c>
    </row>
    <row r="57">
      <c r="A57" t="inlineStr">
        <is>
          <t>2026-08-12</t>
        </is>
      </c>
      <c r="B57" t="inlineStr">
        <is>
          <t>S5b-#16 价格隐含减值率</t>
        </is>
      </c>
      <c r="C57" t="inlineStr">
        <is>
          <t>隐含权益折价 = 16.319−23.20 = -6.88 亿 → 隐含减值率 -85.0%，vs 账面拨备率 20.12% → 比值负 🔴</t>
        </is>
      </c>
      <c r="D57" t="inlineStr">
        <is>
          <t>[推算] 归母权益 FY2025 16.319亿、市值 23.20亿、应收账款账面价值 8.079亿</t>
        </is>
      </c>
      <c r="E57" t="inlineStr">
        <is>
          <t>★市值高于账面净资产 42% = 市场对应收账款零折价预期，安全边际为零。需跌到 PB 0.80（6.52元）市场才隐含约 40% 减值 ≈ 账面拨备率被追认一倍</t>
        </is>
      </c>
    </row>
    <row r="58">
      <c r="A58" t="inlineStr">
        <is>
          <t>2026-08-12</t>
        </is>
      </c>
      <c r="B58" t="inlineStr">
        <is>
          <t>Q-股权激励考核指标</t>
        </is>
      </c>
      <c r="C58" t="inlineStr">
        <is>
          <t>行权价 11.41 元/份；考核基数=FY2022/FY2023 营收算术平均 16.721 亿；第一期 2024 营收≥+8%（18.059亿）、第二期 2025≥+13%（18.895亿）</t>
        </is>
      </c>
      <c r="D58" t="inlineStr">
        <is>
          <t>《2024年股票期权激励计划（草案）》p.13、p.16</t>
        </is>
      </c>
      <c r="E58" t="inlineStr">
        <is>
          <t>★★只考核营业收入、无任何利润/ROE 指标 → 制度性激励扭曲（收入优先、可牺牲毛利）。实际 FY2024 15.005亿(-16.9%)、FY2025 17.433亿(-7.7%)，两期全部未达标注销。行权价 11.41 ≈ 现价 11.60</t>
        </is>
      </c>
    </row>
    <row r="59">
      <c r="A59" t="inlineStr">
        <is>
          <t>2026-08-12</t>
        </is>
      </c>
      <c r="B59" t="inlineStr">
        <is>
          <t>Q-管理层说做对账-1</t>
        </is>
      </c>
      <c r="C59" t="inlineStr">
        <is>
          <t>FY2020 p.18「导致产品价格会出现小幅下滑…产品价格也会逐渐趋于稳定」；p.20「保证了毛利率的稳定提升」</t>
        </is>
      </c>
      <c r="D59" t="inlineStr">
        <is>
          <t>2020年年度报告 p.18、p.20</t>
        </is>
      </c>
      <c r="E59" t="inlineStr">
        <is>
          <t>★对照：智能表单价六年 -24.2%，整体毛利率 34.3%→20.4%；FY2025 自认「价格战愈演愈烈」</t>
        </is>
      </c>
    </row>
    <row r="60">
      <c r="A60" t="inlineStr">
        <is>
          <t>2026-08-12</t>
        </is>
      </c>
      <c r="B60" t="inlineStr">
        <is>
          <t>Q-管理层说做对账-2</t>
        </is>
      </c>
      <c r="C60" t="inlineStr">
        <is>
          <t>FY2021 p.44「设立19亿元的营收目标（该目标与员工持股计划保持一致）」</t>
        </is>
      </c>
      <c r="D60" t="inlineStr">
        <is>
          <t>2021年年度报告 p.44</t>
        </is>
      </c>
      <c r="E60" t="inlineStr">
        <is>
          <t>★对照：FY2022 实际营收 15.55 亿，落空 -18.2%</t>
        </is>
      </c>
    </row>
    <row r="61">
      <c r="A61" t="inlineStr">
        <is>
          <t>2026-08-12</t>
        </is>
      </c>
      <c r="B61" t="inlineStr">
        <is>
          <t>Q-管理层说做对账-3</t>
        </is>
      </c>
      <c r="C61" t="inlineStr">
        <is>
          <t>招股书募投「年产 405 万台智能水表扩产」33,572万投入</t>
        </is>
      </c>
      <c r="D61" t="inlineStr">
        <is>
          <t>招股说明书 p.28</t>
        </is>
      </c>
      <c r="E61" t="inlineStr">
        <is>
          <t>★对照：FY2019→FY2025 智能水表收入 从 905.3(FY2020) 到 934.8 百万，六年零增长；产能扩了、单价塌了</t>
        </is>
      </c>
    </row>
    <row r="62">
      <c r="A62" t="inlineStr">
        <is>
          <t>2026-08-12</t>
        </is>
      </c>
      <c r="B62" t="inlineStr">
        <is>
          <t>Q-行业口径-公司</t>
        </is>
      </c>
      <c r="C62" t="inlineStr">
        <is>
          <t>FY2024 p.16「主流智能小表均价同比下滑超过7%」「铜件价格高位震荡」；FY2024 p.57 智能水表渗透率约47%（前瞻产业研究院）「即将迎来新一轮换表周期」</t>
        </is>
      </c>
      <c r="D62" t="inlineStr">
        <is>
          <t>2024年年度报告 p.16、p.57</t>
        </is>
      </c>
      <c r="E62" t="inlineStr">
        <is>
          <t>[管理层口径]+[第三方] 混合</t>
        </is>
      </c>
    </row>
    <row r="63">
      <c r="A63" t="inlineStr">
        <is>
          <t>2026-08-12</t>
        </is>
      </c>
      <c r="B63" t="inlineStr">
        <is>
          <t>Q-行业口径-同行对质</t>
        </is>
      </c>
      <c r="C63" t="inlineStr">
        <is>
          <t>三川智慧 FY2025 p.42「在地方财政吃紧的背景下，存量水表的主动更换节奏被迫放缓，智能水表渗透率的提升节奏出现阶段性放缓」</t>
        </is>
      </c>
      <c r="D63" t="inlineStr">
        <is>
          <t>三川智慧 2025年年度报告 p.42（下载至 /tmp/peer_ar，不入本标的文件夹）</t>
        </is>
      </c>
      <c r="E63" t="inlineStr">
        <is>
          <t>★★否证宁水「周期换表驱动增长」叙事，方向相反。同时印证：低价竞争、地方财政吃紧、成本转嫁受限</t>
        </is>
      </c>
    </row>
    <row r="64">
      <c r="A64" t="inlineStr">
        <is>
          <t>2026-08-12</t>
        </is>
      </c>
      <c r="B64" t="inlineStr">
        <is>
          <t>Q-行业口径-同行印证</t>
        </is>
      </c>
      <c r="C64" t="inlineStr">
        <is>
          <t>新天科技 FY2025 p.29 行业段偏乐观「数字化智慧化改造渗透率提高，存量替换+新增」</t>
        </is>
      </c>
      <c r="D64" t="inlineStr">
        <is>
          <t>新天科技 2025年年度报告 p.29</t>
        </is>
      </c>
      <c r="E64" t="inlineStr">
        <is>
          <t>三源对质结果：宁水与新天乐观、三川悲观 → 行业分歧本身即风险信号</t>
        </is>
      </c>
    </row>
    <row r="65">
      <c r="A65" t="inlineStr">
        <is>
          <t>2026-08-12</t>
        </is>
      </c>
      <c r="B65" t="inlineStr">
        <is>
          <t>Q-KAM 六年</t>
        </is>
      </c>
      <c r="C65" t="inlineStr">
        <is>
          <t>六年恒定两项：（一）收入确认（含「存在可能操纵收入以达到特定目标或预期的固有风险」）（二）应收账款可收回性</t>
        </is>
      </c>
      <c r="D65" t="inlineStr">
        <is>
          <t>FY2020 p.100 / FY2021 p.101 / FY2022 p.104 / FY2023 p.116 / FY2024 p.132 / FY2025 p.135 审计报告</t>
        </is>
      </c>
      <c r="E65" t="inlineStr">
        <is>
          <t>审计机构立信，六年全部标准无保留意见。KAM 无增减 → 无趋势信号，但两项恰好是本标的两大矛盾</t>
        </is>
      </c>
    </row>
    <row r="66">
      <c r="A66" t="inlineStr">
        <is>
          <t>2026-08-12</t>
        </is>
      </c>
      <c r="B66" t="inlineStr">
        <is>
          <t>Q-子公司序列</t>
        </is>
      </c>
      <c r="C66" t="inlineStr">
        <is>
          <t>宁水科技（智慧水务）净利 -411.21(FY2022)/-1218.46(FY2024)/-1306.61(FY2025) 万元</t>
        </is>
      </c>
      <c r="D66" t="inlineStr">
        <is>
          <t>各年报「主要子公司」附注</t>
        </is>
      </c>
      <c r="E66" t="inlineStr">
        <is>
          <t>★智慧水务转型三年扩大亏损；兴远仪表 169.32/73.81/66.77/117.10 万元</t>
        </is>
      </c>
    </row>
    <row r="67">
      <c r="A67" t="inlineStr">
        <is>
          <t>2026-08-12</t>
        </is>
      </c>
      <c r="B67" t="inlineStr">
        <is>
          <t>Q-慈溪宁水处置</t>
        </is>
      </c>
      <c r="C67" t="inlineStr">
        <is>
          <t>净资产 1,625.59 万元，100% 股权转让给自然人余丹艳、蔡继常；2025-01-22 董事会通过，公告编号 2025-009</t>
        </is>
      </c>
      <c r="D67" t="inlineStr">
        <is>
          <t>FY2024年报 p.57 注 + 2025-009 公告</t>
        </is>
      </c>
      <c r="E67" t="inlineStr">
        <is>
          <t>★红旗：房屋租赁子公司卖给自然人，贡献 FY2025 非流动性资产处置损益 3,560.15 万（约2.2倍账面），恰在业绩最差年份之后立即出售，占 FY2025 归母 38%</t>
        </is>
      </c>
    </row>
    <row r="68">
      <c r="A68" t="inlineStr">
        <is>
          <t>2026-08-12</t>
        </is>
      </c>
      <c r="B68" t="inlineStr">
        <is>
          <t>Q-招股书关键</t>
        </is>
      </c>
      <c r="C68" t="inlineStr">
        <is>
          <t>2019-01 发行 3,909万股@16.63元，发行后总股本 15,634万股，发行 PE 22.98x / PB 2.52x；募资净额 59,667.55 万</t>
        </is>
      </c>
      <c r="D68" t="inlineStr">
        <is>
          <t>招股说明书 p.28、p.44</t>
        </is>
      </c>
      <c r="E68" t="inlineStr">
        <is>
          <t>上市前扣非加权ROE：40.00%(2015)/36.98%(2016)/29.70%(2017)/12.94%(2018H1) → FY2025 已降至 2.97%[推算]</t>
        </is>
      </c>
    </row>
    <row r="69">
      <c r="A69" t="inlineStr">
        <is>
          <t>2026-08-12</t>
        </is>
      </c>
      <c r="B69" t="inlineStr">
        <is>
          <t>Q-招股书自认风险</t>
        </is>
      </c>
      <c r="C69" t="inlineStr">
        <is>
          <t>应收账款回收、募投项目、产能扩大后的市场拓展风险、规模扩张管理风险、所得税优惠变化、净资产收益率下降风险</t>
        </is>
      </c>
      <c r="D69" t="inlineStr">
        <is>
          <t>招股说明书 风险因素章节</t>
        </is>
      </c>
      <c r="E69" t="inlineStr">
        <is>
          <t>★七年后回看：公司自己列的六条风险，至少四条已经实现</t>
        </is>
      </c>
    </row>
    <row r="70">
      <c r="A70" t="inlineStr">
        <is>
          <t>2026-08-12</t>
        </is>
      </c>
      <c r="B70" t="inlineStr">
        <is>
          <t>×未采-d_交流记录</t>
        </is>
      </c>
      <c r="C70" t="inlineStr">
        <is>
          <t>0 条</t>
        </is>
      </c>
      <c r="D70" t="inlineStr">
        <is>
          <t>巨潮资讯网沪深投资者关系记录检索</t>
        </is>
      </c>
      <c r="E70" t="inlineStr">
        <is>
          <t>该板块对本标的无记录，投关口径信息缺失（不影响结论，但「管理层怎么解释」这一条无独立来源）</t>
        </is>
      </c>
    </row>
    <row r="71">
      <c r="A71" t="inlineStr">
        <is>
          <t>2026-08-12</t>
        </is>
      </c>
      <c r="B71" t="inlineStr">
        <is>
          <t>×未采-2026年半年报</t>
        </is>
      </c>
      <c r="C71" t="inlineStr">
        <is>
          <t>未披露</t>
        </is>
      </c>
      <c r="D71" t="inlineStr">
        <is>
          <t>截至 2026-08-12 尚未发布</t>
        </is>
      </c>
      <c r="E71" t="inlineStr">
        <is>
          <t>最新披露为 2026Q1（季报），G 列用 Q1 单季数，不是中报口径 —— 与模板 G 列表头「最新中报/TTM」不符，已在各 Sheet 备注注明</t>
        </is>
      </c>
    </row>
    <row r="72">
      <c r="A72" t="inlineStr">
        <is>
          <t>2026-08-12</t>
        </is>
      </c>
      <c r="B72" t="inlineStr">
        <is>
          <t>×降级-行情接口</t>
        </is>
      </c>
      <c r="C72" t="inlineStr">
        <is>
          <t>东财 RemoteDisconnected → 自动降级 tencent</t>
        </is>
      </c>
      <c r="D72" t="inlineStr">
        <is>
          <t>fetch_stock_price.py stderr [降级] 日志</t>
        </is>
      </c>
      <c r="E72" t="inlineStr">
        <is>
          <t>daily/annual/valuation/snapshot 四类均降级。副作用：tencent 不返回 PB/PE/ROE/股息率，这四列全部改为自算[推算]</t>
        </is>
      </c>
    </row>
    <row r="73">
      <c r="A73" t="inlineStr">
        <is>
          <t>2026-08-12</t>
        </is>
      </c>
      <c r="B73" t="inlineStr">
        <is>
          <t>×差异-东财 PB</t>
        </is>
      </c>
      <c r="C73" t="inlineStr">
        <is>
          <t>东财快照 1.48（08-12 价 11.750）vs 自算 1.422（08-11 价 11.60 ÷ BVPS 8.1552）</t>
        </is>
      </c>
      <c r="D73" t="inlineStr">
        <is>
          <t>px_snapshot_202608.csv vs [推算]</t>
        </is>
      </c>
      <c r="E73" t="inlineStr">
        <is>
          <t>反推东财隐含 BVPS≈7.94，口径不明。全文一律用自算[推算]，保证与同行同源</t>
        </is>
      </c>
    </row>
    <row r="74">
      <c r="A74" t="inlineStr">
        <is>
          <t>2026-08-12</t>
        </is>
      </c>
      <c r="B74" t="inlineStr">
        <is>
          <t>×差异-威派格收盘价</t>
        </is>
      </c>
      <c r="C74" t="inlineStr">
        <is>
          <t>东财 7.07 / tencent 7.05（同为 2026-08-11）</t>
        </is>
      </c>
      <c r="D74" t="inlineStr">
        <is>
          <t>威派格 memo vs px_daily</t>
        </is>
      </c>
      <c r="E74" t="inlineStr">
        <is>
          <t>差 0.3%。本报告同行横向统一用 tencent 同源价，不与威派格 memo 混用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2026-08-03T03:23:30Z</dcterms:created>
  <dcterms:modified xmlns:dcterms="http://purl.org/dc/terms/" xmlns:xsi="http://www.w3.org/2001/XMLSchema-instance" xsi:type="dcterms:W3CDTF">2026-08-12T04:46:36Z</dcterms:modified>
</cp:coreProperties>
</file>
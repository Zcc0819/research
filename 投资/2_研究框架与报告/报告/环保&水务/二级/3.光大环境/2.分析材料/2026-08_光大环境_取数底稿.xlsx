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说明" sheetId="1" state="visible" r:id="rId1"/>
    <sheet xmlns:r="http://schemas.openxmlformats.org/officeDocument/2006/relationships" name="1_分部拆解" sheetId="2" state="visible" r:id="rId2"/>
    <sheet xmlns:r="http://schemas.openxmlformats.org/officeDocument/2006/relationships" name="2_利润表五年" sheetId="3" state="visible" r:id="rId3"/>
    <sheet xmlns:r="http://schemas.openxmlformats.org/officeDocument/2006/relationships" name="3_现金流照妖镜" sheetId="4" state="visible" r:id="rId4"/>
    <sheet xmlns:r="http://schemas.openxmlformats.org/officeDocument/2006/relationships" name="4_资产负债偿债" sheetId="5" state="visible" r:id="rId5"/>
    <sheet xmlns:r="http://schemas.openxmlformats.org/officeDocument/2006/relationships" name="5_估值对比" sheetId="6" state="visible" r:id="rId6"/>
    <sheet xmlns:r="http://schemas.openxmlformats.org/officeDocument/2006/relationships" name="5b_股价与估值" sheetId="7" state="visible" r:id="rId7"/>
    <sheet xmlns:r="http://schemas.openxmlformats.org/officeDocument/2006/relationships" name="6_取数日志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164" fontId="0" fillId="3" borderId="1" pivotButton="0" quotePrefix="0" xfId="0"/>
    <xf numFmtId="0" fontId="0" fillId="5" borderId="0" applyAlignment="1" pivotButton="0" quotePrefix="0" xfId="0">
      <alignment vertical="center" wrapText="1"/>
    </xf>
    <xf numFmtId="3" fontId="0" fillId="4" borderId="1" pivotButton="0" quotePrefix="0" xfId="0"/>
    <xf numFmtId="0" fontId="0" fillId="5" borderId="0" pivotButton="0" quotePrefix="0" xfId="0"/>
    <xf numFmtId="2" fontId="0" fillId="4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取数底稿模板（二级市场）—— 使用说明</t>
        </is>
      </c>
    </row>
    <row r="2">
      <c r="A2" s="2" t="inlineStr"/>
    </row>
    <row r="3">
      <c r="A3" s="1" t="inlineStr">
        <is>
          <t>一、这个文件怎么用</t>
        </is>
      </c>
    </row>
    <row r="4">
      <c r="A4" s="2" t="inlineStr">
        <is>
          <t>1. 每研究一个标的，复制本文件到 报告/ 目录，改名：YYYY-MM_标的名_取数底稿.xlsx</t>
        </is>
      </c>
    </row>
    <row r="5">
      <c r="A5" s="2" t="inlineStr">
        <is>
          <t>2. 黄色格子 = 手填原始数据（从年报抄）；灰色格子 = 公式自动计算，别碰；橙色格子 = 填你的判断</t>
        </is>
      </c>
    </row>
    <row r="6">
      <c r="A6" s="2" t="inlineStr">
        <is>
          <t>3. 铁律：每个手填数字必须同步在「6_取数日志」登记出处（报告名+页码/附注号）。查不到出处的数字 = 没有的数字</t>
        </is>
      </c>
    </row>
    <row r="7">
      <c r="A7" s="2" t="inlineStr">
        <is>
          <t>4. 单位统一：金额一律用【百万】（港股年报多为千元，抄的时候除以 1000），比率保留 1 位小数</t>
        </is>
      </c>
    </row>
    <row r="8">
      <c r="A8" s="2" t="inlineStr"/>
    </row>
    <row r="9">
      <c r="A9" s="1" t="inlineStr">
        <is>
          <t>二、各 Sheet 对应 memo 的哪一节</t>
        </is>
      </c>
    </row>
    <row r="10">
      <c r="A10" s="2" t="inlineStr">
        <is>
          <t>1_分部拆解      → memo 第 3 节「主营拆解：收入质量分层表」</t>
        </is>
      </c>
    </row>
    <row r="11">
      <c r="A11" s="2" t="inlineStr">
        <is>
          <t>2_利润表五年    → memo 第 4 节「利润成色」</t>
        </is>
      </c>
    </row>
    <row r="12">
      <c r="A12" s="2" t="inlineStr">
        <is>
          <t>3_现金流照妖镜  → memo 第 4 节两大硬指标：经营现金流/净利润 5 年比值、自由现金流 5 年加总</t>
        </is>
      </c>
    </row>
    <row r="13">
      <c r="A13" s="2" t="inlineStr">
        <is>
          <t>4_资产负债偿债  → memo 第 4 节「应收款与减值、有息负债」</t>
        </is>
      </c>
    </row>
    <row r="14">
      <c r="A14" s="2" t="inlineStr">
        <is>
          <t>5_估值对比      → memo 第 5 节「价格隐含的预期」同行横向对比</t>
        </is>
      </c>
    </row>
    <row r="15">
      <c r="A15" s="2" t="inlineStr">
        <is>
          <t>5b_股价与估值   → memo 第 5 节纵向对比：历年股价、每股指标、当前估值分位、隐含预期敏感度</t>
        </is>
      </c>
    </row>
    <row r="16">
      <c r="A16" s="2" t="inlineStr">
        <is>
          <t>6_取数日志      → 全部数字的出处登记，复查和被质疑时的护身符</t>
        </is>
      </c>
    </row>
    <row r="17">
      <c r="A17" s="2" t="inlineStr"/>
    </row>
    <row r="18">
      <c r="A18" s="1" t="inlineStr">
        <is>
          <t>三、股价数据怎么来</t>
        </is>
      </c>
    </row>
    <row r="19">
      <c r="A19" s="2" t="inlineStr">
        <is>
          <t>· 跑 skill 脚本 fetch_stock_price.py，四个子命令：snapshot（现价/市值/PB）、daily（日线）、</t>
        </is>
      </c>
    </row>
    <row r="20">
      <c r="A20" s="2" t="inlineStr">
        <is>
          <t xml:space="preserve">  annual（年度聚合）、valuation（PB/PE/股息率日度序列＋历史分位）</t>
        </is>
      </c>
    </row>
    <row r="21">
      <c r="A21" s="2" t="inlineStr">
        <is>
          <t>· 铁律：股价是港元/人民币原币，每股指标（BVPS/EPS）多为人民币。跨币必须传年末汇率，</t>
        </is>
      </c>
    </row>
    <row r="22">
      <c r="A22" s="2" t="inlineStr">
        <is>
          <t xml:space="preserve">  否则汇率波动会污染整条分位序列。港股股息本就披露为港仙，与港元股价同币，不要再乘汇率</t>
        </is>
      </c>
    </row>
    <row r="23">
      <c r="A23" s="2" t="inlineStr">
        <is>
          <t>· 汇率没有现成序列时，可从股息附注反推：同一笔股息同时披露港仙额与人民币额，两者相除即当年汇率</t>
        </is>
      </c>
    </row>
    <row r="24">
      <c r="A24" s="2" t="inlineStr"/>
    </row>
    <row r="25">
      <c r="A25" s="1" t="inlineStr">
        <is>
          <t>四、北控水务取数提示（来自信息源与取数手册）</t>
        </is>
      </c>
    </row>
    <row r="26">
      <c r="A26" s="2" t="inlineStr">
        <is>
          <t>· 分部数据看年报「分部资料」附注；特许经营权应收款可能拆在多个附注里，要加总</t>
        </is>
      </c>
    </row>
    <row r="27">
      <c r="A27" s="2" t="inlineStr">
        <is>
          <t>· 建造收入是 BOT 模式下「赚未来自己的钱」，单独一行拆出来，别和运营收入混在一起</t>
        </is>
      </c>
    </row>
    <row r="28">
      <c r="A28" s="2" t="inlineStr">
        <is>
          <t>· 借贷成本看「借贷」附注，注意区分固定/浮动利率占比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0" customWidth="1" min="8" max="8"/>
  </cols>
  <sheetData>
    <row r="1">
      <c r="A1" s="3" t="inlineStr">
        <is>
          <t>分部收入拆解（单位：百万）——先填收入，再填毛利，占比/增速自动算</t>
        </is>
      </c>
    </row>
    <row r="3">
      <c r="A3" s="4" t="inlineStr">
        <is>
          <t>分部/项目</t>
        </is>
      </c>
      <c r="B3" s="4" t="inlineStr">
        <is>
          <t>FY2021</t>
        </is>
      </c>
      <c r="C3" s="4" t="inlineStr">
        <is>
          <t>FY2022</t>
        </is>
      </c>
      <c r="D3" s="4" t="inlineStr">
        <is>
          <t>FY2023</t>
        </is>
      </c>
      <c r="E3" s="4" t="inlineStr">
        <is>
          <t>FY2024</t>
        </is>
      </c>
      <c r="F3" s="4" t="inlineStr">
        <is>
          <t>FY2025</t>
        </is>
      </c>
      <c r="G3" s="4" t="inlineStr">
        <is>
          <t>最新中报/TTM</t>
        </is>
      </c>
      <c r="H3" s="4" t="inlineStr">
        <is>
          <t>备注（口径变化必须记）</t>
        </is>
      </c>
    </row>
    <row r="4">
      <c r="A4" t="inlineStr">
        <is>
          <t>环保能源（垃圾发电）收入</t>
        </is>
      </c>
      <c r="B4" s="5" t="n">
        <v>33252.3</v>
      </c>
      <c r="C4" s="5" t="n">
        <v>21968.2</v>
      </c>
      <c r="D4" s="5" t="n">
        <v>17359.8</v>
      </c>
      <c r="E4" s="5" t="n">
        <v>15916.4</v>
      </c>
      <c r="F4" s="5" t="n">
        <v>14995.2</v>
      </c>
      <c r="G4" s="5" t="n"/>
      <c r="H4" s="5" t="inlineStr">
        <is>
          <t>外界客户收益口径；FY2021为FY2022年报重列数</t>
        </is>
      </c>
    </row>
    <row r="5">
      <c r="A5" t="inlineStr">
        <is>
          <t>环保水務收入</t>
        </is>
      </c>
      <c r="B5" s="5" t="n">
        <v>6912.4</v>
      </c>
      <c r="C5" s="5" t="n">
        <v>6728</v>
      </c>
      <c r="D5" s="5" t="n">
        <v>6704.7</v>
      </c>
      <c r="E5" s="5" t="n">
        <v>6846.6</v>
      </c>
      <c r="F5" s="5" t="n">
        <v>5349.3</v>
      </c>
      <c r="G5" s="5" t="n"/>
      <c r="H5" s="5" t="n"/>
    </row>
    <row r="6">
      <c r="A6" t="inlineStr">
        <is>
          <t>绿色环保（生物质/光伏/风电）收入</t>
        </is>
      </c>
      <c r="B6" s="5" t="n">
        <v>8445.1</v>
      </c>
      <c r="C6" s="5" t="n">
        <v>8042.3</v>
      </c>
      <c r="D6" s="5" t="n">
        <v>7415.4</v>
      </c>
      <c r="E6" s="5" t="n">
        <v>6974.1</v>
      </c>
      <c r="F6" s="5" t="n">
        <v>6728</v>
      </c>
      <c r="G6" s="5" t="n"/>
      <c r="H6" s="5" t="n"/>
    </row>
    <row r="7">
      <c r="A7" t="inlineStr">
        <is>
          <t>其他（技术服务/装备）收入</t>
        </is>
      </c>
      <c r="B7" s="5" t="n">
        <v>1285.5</v>
      </c>
      <c r="C7" s="5" t="n">
        <v>582.8</v>
      </c>
      <c r="D7" s="5" t="n">
        <v>610.3</v>
      </c>
      <c r="E7" s="5" t="n">
        <v>521</v>
      </c>
      <c r="F7" s="5" t="n">
        <v>447.9</v>
      </c>
      <c r="G7" s="5" t="n"/>
      <c r="H7" s="5" t="n"/>
    </row>
    <row r="8">
      <c r="A8" t="inlineStr">
        <is>
          <t>分部间抵消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/>
      <c r="H8" s="5" t="inlineStr">
        <is>
          <t>各年分部表已为对外收益，无需抵消</t>
        </is>
      </c>
    </row>
    <row r="9">
      <c r="A9" t="inlineStr">
        <is>
          <t>分部收入合计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s="3" t="inlineStr">
        <is>
          <t>收入合计</t>
        </is>
      </c>
      <c r="B10" s="6">
        <f>SUM(B4:B9)</f>
        <v/>
      </c>
      <c r="C10" s="6">
        <f>SUM(C4:C9)</f>
        <v/>
      </c>
      <c r="D10" s="6">
        <f>SUM(D4:D9)</f>
        <v/>
      </c>
      <c r="E10" s="6">
        <f>SUM(E4:E9)</f>
        <v/>
      </c>
      <c r="F10" s="6">
        <f>SUM(F4:F9)</f>
        <v/>
      </c>
      <c r="G10" s="6">
        <f>SUM(G4:G9)</f>
        <v/>
      </c>
    </row>
    <row r="12">
      <c r="A12" s="3" t="inlineStr">
        <is>
          <t>收入占比（自动）</t>
        </is>
      </c>
    </row>
    <row r="13">
      <c r="A13" t="inlineStr">
        <is>
          <t>污水处理服务（运营）</t>
        </is>
      </c>
      <c r="B13" s="7">
        <f>IF(B10=0,"",B4/B10)</f>
        <v/>
      </c>
      <c r="C13" s="7">
        <f>IF(C10=0,"",C4/C10)</f>
        <v/>
      </c>
      <c r="D13" s="7">
        <f>IF(D10=0,"",D4/D10)</f>
        <v/>
      </c>
      <c r="E13" s="7">
        <f>IF(E10=0,"",E4/E10)</f>
        <v/>
      </c>
      <c r="F13" s="7">
        <f>IF(F10=0,"",F4/F10)</f>
        <v/>
      </c>
      <c r="G13" s="7">
        <f>IF(G10=0,"",G4/G10)</f>
        <v/>
      </c>
    </row>
    <row r="14">
      <c r="A14" t="inlineStr">
        <is>
          <t>供水服务（运营）</t>
        </is>
      </c>
      <c r="B14" s="7">
        <f>IF(B10=0,"",B5/B10)</f>
        <v/>
      </c>
      <c r="C14" s="7">
        <f>IF(C10=0,"",C5/C10)</f>
        <v/>
      </c>
      <c r="D14" s="7">
        <f>IF(D10=0,"",D5/D10)</f>
        <v/>
      </c>
      <c r="E14" s="7">
        <f>IF(E10=0,"",E5/E10)</f>
        <v/>
      </c>
      <c r="F14" s="7">
        <f>IF(F10=0,"",F5/F10)</f>
        <v/>
      </c>
      <c r="G14" s="7">
        <f>IF(G10=0,"",G5/G10)</f>
        <v/>
      </c>
    </row>
    <row r="15">
      <c r="A15" t="inlineStr">
        <is>
          <t>水环境治理建造服务</t>
        </is>
      </c>
      <c r="B15" s="7">
        <f>IF(B10=0,"",B6/B10)</f>
        <v/>
      </c>
      <c r="C15" s="7">
        <f>IF(C10=0,"",C6/C10)</f>
        <v/>
      </c>
      <c r="D15" s="7">
        <f>IF(D10=0,"",D6/D10)</f>
        <v/>
      </c>
      <c r="E15" s="7">
        <f>IF(E10=0,"",E6/E10)</f>
        <v/>
      </c>
      <c r="F15" s="7">
        <f>IF(F10=0,"",F6/F10)</f>
        <v/>
      </c>
      <c r="G15" s="7">
        <f>IF(G10=0,"",G6/G10)</f>
        <v/>
      </c>
    </row>
    <row r="16">
      <c r="A16" t="inlineStr">
        <is>
          <t>技术服务与设备销售</t>
        </is>
      </c>
      <c r="B16" s="7">
        <f>IF(B10=0,"",B7/B10)</f>
        <v/>
      </c>
      <c r="C16" s="7">
        <f>IF(C10=0,"",C7/C10)</f>
        <v/>
      </c>
      <c r="D16" s="7">
        <f>IF(D10=0,"",D7/D10)</f>
        <v/>
      </c>
      <c r="E16" s="7">
        <f>IF(E10=0,"",E7/E10)</f>
        <v/>
      </c>
      <c r="F16" s="7">
        <f>IF(F10=0,"",F7/F10)</f>
        <v/>
      </c>
      <c r="G16" s="7">
        <f>IF(G10=0,"",G7/G10)</f>
        <v/>
      </c>
    </row>
    <row r="17">
      <c r="A17" t="inlineStr">
        <is>
          <t>金融收入（特许权融资利息等）</t>
        </is>
      </c>
      <c r="B17" s="7">
        <f>IF(B10=0,"",B8/B10)</f>
        <v/>
      </c>
      <c r="C17" s="7">
        <f>IF(C10=0,"",C8/C10)</f>
        <v/>
      </c>
      <c r="D17" s="7">
        <f>IF(D10=0,"",D8/D10)</f>
        <v/>
      </c>
      <c r="E17" s="7">
        <f>IF(E10=0,"",E8/E10)</f>
        <v/>
      </c>
      <c r="F17" s="7">
        <f>IF(F10=0,"",F8/F10)</f>
        <v/>
      </c>
      <c r="G17" s="7">
        <f>IF(G10=0,"",G8/G10)</f>
        <v/>
      </c>
    </row>
    <row r="18">
      <c r="A18" t="inlineStr">
        <is>
          <t>其他</t>
        </is>
      </c>
      <c r="B18" s="7">
        <f>IF(B10=0,"",B9/B10)</f>
        <v/>
      </c>
      <c r="C18" s="7">
        <f>IF(C10=0,"",C9/C10)</f>
        <v/>
      </c>
      <c r="D18" s="7">
        <f>IF(D10=0,"",D9/D10)</f>
        <v/>
      </c>
      <c r="E18" s="7">
        <f>IF(E10=0,"",E9/E10)</f>
        <v/>
      </c>
      <c r="F18" s="7">
        <f>IF(F10=0,"",F9/F10)</f>
        <v/>
      </c>
      <c r="G18" s="7">
        <f>IF(G10=0,"",G9/G10)</f>
        <v/>
      </c>
    </row>
    <row r="20">
      <c r="A20" s="3" t="inlineStr">
        <is>
          <t>收入同比增速（自动）</t>
        </is>
      </c>
    </row>
    <row r="21">
      <c r="A21" t="inlineStr">
        <is>
          <t>污水处理服务（运营）</t>
        </is>
      </c>
      <c r="C21" s="7">
        <f>IF(OR(B4=0,B4=""),"",C4/B4-1)</f>
        <v/>
      </c>
      <c r="D21" s="7">
        <f>IF(OR(C4=0,C4=""),"",D4/C4-1)</f>
        <v/>
      </c>
      <c r="E21" s="7">
        <f>IF(OR(D4=0,D4=""),"",E4/D4-1)</f>
        <v/>
      </c>
      <c r="F21" s="7">
        <f>IF(OR(E4=0,E4=""),"",F4/E4-1)</f>
        <v/>
      </c>
    </row>
    <row r="22">
      <c r="A22" t="inlineStr">
        <is>
          <t>供水服务（运营）</t>
        </is>
      </c>
      <c r="C22" s="7">
        <f>IF(OR(B5=0,B5=""),"",C5/B5-1)</f>
        <v/>
      </c>
      <c r="D22" s="7">
        <f>IF(OR(C5=0,C5=""),"",D5/C5-1)</f>
        <v/>
      </c>
      <c r="E22" s="7">
        <f>IF(OR(D5=0,D5=""),"",E5/D5-1)</f>
        <v/>
      </c>
      <c r="F22" s="7">
        <f>IF(OR(E5=0,E5=""),"",F5/E5-1)</f>
        <v/>
      </c>
    </row>
    <row r="23">
      <c r="A23" t="inlineStr">
        <is>
          <t>水环境治理建造服务</t>
        </is>
      </c>
      <c r="C23" s="7">
        <f>IF(OR(B6=0,B6=""),"",C6/B6-1)</f>
        <v/>
      </c>
      <c r="D23" s="7">
        <f>IF(OR(C6=0,C6=""),"",D6/C6-1)</f>
        <v/>
      </c>
      <c r="E23" s="7">
        <f>IF(OR(D6=0,D6=""),"",E6/D6-1)</f>
        <v/>
      </c>
      <c r="F23" s="7">
        <f>IF(OR(E6=0,E6=""),"",F6/E6-1)</f>
        <v/>
      </c>
    </row>
    <row r="24">
      <c r="A24" t="inlineStr">
        <is>
          <t>技术服务与设备销售</t>
        </is>
      </c>
      <c r="C24" s="7">
        <f>IF(OR(B7=0,B7=""),"",C7/B7-1)</f>
        <v/>
      </c>
      <c r="D24" s="7">
        <f>IF(OR(C7=0,C7=""),"",D7/C7-1)</f>
        <v/>
      </c>
      <c r="E24" s="7">
        <f>IF(OR(D7=0,D7=""),"",E7/D7-1)</f>
        <v/>
      </c>
      <c r="F24" s="7">
        <f>IF(OR(E7=0,E7=""),"",F7/E7-1)</f>
        <v/>
      </c>
    </row>
    <row r="25">
      <c r="A25" t="inlineStr">
        <is>
          <t>金融收入（特许权融资利息等）</t>
        </is>
      </c>
      <c r="C25" s="7">
        <f>IF(OR(B8=0,B8=""),"",C8/B8-1)</f>
        <v/>
      </c>
      <c r="D25" s="7">
        <f>IF(OR(C8=0,C8=""),"",D8/C8-1)</f>
        <v/>
      </c>
      <c r="E25" s="7">
        <f>IF(OR(D8=0,D8=""),"",E8/D8-1)</f>
        <v/>
      </c>
      <c r="F25" s="7">
        <f>IF(OR(E8=0,E8=""),"",F8/E8-1)</f>
        <v/>
      </c>
    </row>
    <row r="26">
      <c r="A26" t="inlineStr">
        <is>
          <t>其他</t>
        </is>
      </c>
      <c r="C26" s="7">
        <f>IF(OR(B9=0,B9=""),"",C9/B9-1)</f>
        <v/>
      </c>
      <c r="D26" s="7">
        <f>IF(OR(C9=0,C9=""),"",D9/C9-1)</f>
        <v/>
      </c>
      <c r="E26" s="7">
        <f>IF(OR(D9=0,D9=""),"",E9/D9-1)</f>
        <v/>
      </c>
      <c r="F26" s="7">
        <f>IF(OR(E9=0,E9=""),"",F9/E9-1)</f>
        <v/>
      </c>
    </row>
    <row r="28">
      <c r="A28" s="3" t="inlineStr">
        <is>
          <t>分部毛利率（年报有披露就填，没有就填分部业绩率）</t>
        </is>
      </c>
    </row>
    <row r="29">
      <c r="A29" t="inlineStr">
        <is>
          <t>污水处理服务（运营）</t>
        </is>
      </c>
      <c r="B29" s="8" t="n"/>
      <c r="C29" s="8" t="n"/>
      <c r="D29" s="8" t="n"/>
      <c r="E29" s="8" t="n"/>
      <c r="F29" s="8" t="n"/>
      <c r="G29" s="8" t="n"/>
    </row>
    <row r="30">
      <c r="A30" t="inlineStr">
        <is>
          <t>供水服务（运营）</t>
        </is>
      </c>
      <c r="B30" s="8" t="n"/>
      <c r="C30" s="8" t="n"/>
      <c r="D30" s="8" t="n"/>
      <c r="E30" s="8" t="n"/>
      <c r="F30" s="8" t="n"/>
      <c r="G30" s="8" t="n"/>
    </row>
    <row r="31">
      <c r="A31" t="inlineStr">
        <is>
          <t>水环境治理建造服务</t>
        </is>
      </c>
      <c r="B31" s="8" t="n"/>
      <c r="C31" s="8" t="n"/>
      <c r="D31" s="8" t="n"/>
      <c r="E31" s="8" t="n"/>
      <c r="F31" s="8" t="n"/>
      <c r="G31" s="8" t="n"/>
    </row>
    <row r="32">
      <c r="A32" t="inlineStr">
        <is>
          <t>技术服务与设备销售</t>
        </is>
      </c>
      <c r="B32" s="8" t="n"/>
      <c r="C32" s="8" t="n"/>
      <c r="D32" s="8" t="n"/>
      <c r="E32" s="8" t="n"/>
      <c r="F32" s="8" t="n"/>
      <c r="G32" s="8" t="n"/>
    </row>
    <row r="33">
      <c r="A33" t="inlineStr">
        <is>
          <t>金融收入（特许权融资利息等）</t>
        </is>
      </c>
      <c r="B33" s="8" t="n"/>
      <c r="C33" s="8" t="n"/>
      <c r="D33" s="8" t="n"/>
      <c r="E33" s="8" t="n"/>
      <c r="F33" s="8" t="n"/>
      <c r="G33" s="8" t="n"/>
    </row>
    <row r="34">
      <c r="A34" t="inlineStr">
        <is>
          <t>其他</t>
        </is>
      </c>
      <c r="B34" s="8" t="n"/>
      <c r="C34" s="8" t="n"/>
      <c r="D34" s="8" t="n"/>
      <c r="E34" s="8" t="n"/>
      <c r="F34" s="8" t="n"/>
      <c r="G34" s="8" t="n"/>
    </row>
    <row r="36">
      <c r="A36" s="9" t="inlineStr">
        <is>
          <t>【本表判断】高质量收入（运营类）占比在［上升/下降］；建造收入依赖度［高/低/在退坡］→ 填 memo 第 3 节</t>
        </is>
      </c>
    </row>
  </sheetData>
  <mergeCells count="1">
    <mergeCell ref="A36:H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0" customWidth="1" min="8" max="8"/>
  </cols>
  <sheetData>
    <row r="1">
      <c r="A1" s="4" t="inlineStr">
        <is>
          <t>科目（单位：百万）</t>
        </is>
      </c>
      <c r="B1" s="4" t="inlineStr">
        <is>
          <t>FY2021</t>
        </is>
      </c>
      <c r="C1" s="4" t="inlineStr">
        <is>
          <t>FY2022</t>
        </is>
      </c>
      <c r="D1" s="4" t="inlineStr">
        <is>
          <t>FY2023</t>
        </is>
      </c>
      <c r="E1" s="4" t="inlineStr">
        <is>
          <t>FY2024</t>
        </is>
      </c>
      <c r="F1" s="4" t="inlineStr">
        <is>
          <t>FY2025</t>
        </is>
      </c>
      <c r="G1" s="4" t="inlineStr">
        <is>
          <t>最新中报/TTM</t>
        </is>
      </c>
      <c r="H1" s="4" t="inlineStr">
        <is>
          <t>备注/出处提示</t>
        </is>
      </c>
    </row>
    <row r="2">
      <c r="A2" t="inlineStr">
        <is>
          <t>营业收入</t>
        </is>
      </c>
      <c r="B2" s="5" t="n">
        <v>49895.4</v>
      </c>
      <c r="C2" s="5" t="n">
        <v>37321.2</v>
      </c>
      <c r="D2" s="5" t="n">
        <v>32090.2</v>
      </c>
      <c r="E2" s="5" t="n">
        <v>30258</v>
      </c>
      <c r="F2" s="5" t="n">
        <v>27520.5</v>
      </c>
      <c r="G2" s="5" t="n"/>
      <c r="H2" t="inlineStr">
        <is>
          <t>HKD百万；FY2025年报p347五年概要+各年综合损益表</t>
        </is>
      </c>
    </row>
    <row r="3">
      <c r="A3" t="inlineStr">
        <is>
          <t>毛利</t>
        </is>
      </c>
      <c r="B3" s="5" t="n">
        <v>13460.5</v>
      </c>
      <c r="C3" s="5" t="n">
        <v>12831.5</v>
      </c>
      <c r="D3" s="5" t="n">
        <v>12516.1</v>
      </c>
      <c r="E3" s="5" t="n">
        <v>10682.8</v>
      </c>
      <c r="F3" s="5" t="n">
        <v>11085.5</v>
      </c>
      <c r="G3" s="5" t="n"/>
    </row>
    <row r="4">
      <c r="A4" t="inlineStr">
        <is>
          <t>销售及行政开支</t>
        </is>
      </c>
      <c r="B4" s="5" t="n">
        <v>2886.8</v>
      </c>
      <c r="C4" s="5" t="n">
        <v>3253.4</v>
      </c>
      <c r="D4" s="5" t="n">
        <v>2854</v>
      </c>
      <c r="E4" s="5" t="n">
        <v>2618.9</v>
      </c>
      <c r="F4" s="5" t="n">
        <v>2734.7</v>
      </c>
      <c r="G4" s="5" t="n"/>
    </row>
    <row r="5">
      <c r="A5" t="inlineStr">
        <is>
          <t>财务费用（借贷成本）</t>
        </is>
      </c>
      <c r="B5" s="5" t="n">
        <v>3079.4</v>
      </c>
      <c r="C5" s="5" t="n">
        <v>3488.3</v>
      </c>
      <c r="D5" s="5" t="n">
        <v>3527.8</v>
      </c>
      <c r="E5" s="5" t="n">
        <v>3007</v>
      </c>
      <c r="F5" s="5" t="n">
        <v>2393.7</v>
      </c>
      <c r="G5" s="5" t="n"/>
    </row>
    <row r="6">
      <c r="A6" t="inlineStr">
        <is>
          <t>应占合联营损益</t>
        </is>
      </c>
      <c r="B6" s="5" t="n">
        <v>173.2</v>
      </c>
      <c r="C6" s="5" t="n">
        <v>151.3</v>
      </c>
      <c r="D6" s="5" t="n">
        <v>135.9</v>
      </c>
      <c r="E6" s="5" t="n">
        <v>-12.7</v>
      </c>
      <c r="F6" s="5" t="n">
        <v>22.3</v>
      </c>
      <c r="G6" s="5" t="n"/>
      <c r="H6" t="inlineStr">
        <is>
          <t>合营+联营合计，FY2025年报p347</t>
        </is>
      </c>
    </row>
    <row r="7">
      <c r="A7" t="inlineStr">
        <is>
          <t>除税前溢利</t>
        </is>
      </c>
      <c r="B7" s="5" t="n">
        <v>10320.6</v>
      </c>
      <c r="C7" s="5" t="n">
        <v>7262.9</v>
      </c>
      <c r="D7" s="5" t="n">
        <v>7124.5</v>
      </c>
      <c r="E7" s="5" t="n">
        <v>4867.1</v>
      </c>
      <c r="F7" s="5" t="n">
        <v>5650.9</v>
      </c>
      <c r="G7" s="5" t="n"/>
    </row>
    <row r="8">
      <c r="A8" t="inlineStr">
        <is>
          <t>净利润</t>
        </is>
      </c>
      <c r="B8" s="5" t="n">
        <v>8120.3</v>
      </c>
      <c r="C8" s="5" t="n">
        <v>5515</v>
      </c>
      <c r="D8" s="5" t="n">
        <v>5297.2</v>
      </c>
      <c r="E8" s="5" t="n">
        <v>3973.6</v>
      </c>
      <c r="F8" s="5" t="n">
        <v>4704.6</v>
      </c>
      <c r="G8" s="5" t="n"/>
    </row>
    <row r="9">
      <c r="A9" t="inlineStr">
        <is>
          <t>归母净利润</t>
        </is>
      </c>
      <c r="B9" s="5" t="n">
        <v>6804.1</v>
      </c>
      <c r="C9" s="5" t="n">
        <v>4601.9</v>
      </c>
      <c r="D9" s="5" t="n">
        <v>4429.2</v>
      </c>
      <c r="E9" s="5" t="n">
        <v>3377.2</v>
      </c>
      <c r="F9" s="5" t="n">
        <v>3925.2</v>
      </c>
      <c r="G9" s="5" t="n"/>
    </row>
    <row r="10">
      <c r="A10" t="inlineStr">
        <is>
          <t>非经常项目（出售收益/公允值变动/一次性减值）</t>
        </is>
      </c>
      <c r="B10" s="5" t="n"/>
      <c r="C10" s="5" t="n"/>
      <c r="D10" s="5" t="n"/>
      <c r="E10" s="5" t="n"/>
      <c r="F10" s="5" t="n"/>
      <c r="G10" s="5" t="n"/>
    </row>
    <row r="11">
      <c r="A11" t="inlineStr">
        <is>
          <t>毛利率（自动）</t>
        </is>
      </c>
      <c r="B11" s="7">
        <f>IF(B2=0,"",B3/B2)</f>
        <v/>
      </c>
      <c r="C11" s="7">
        <f>IF(C2=0,"",C3/C2)</f>
        <v/>
      </c>
      <c r="D11" s="7">
        <f>IF(D2=0,"",D3/D2)</f>
        <v/>
      </c>
      <c r="E11" s="7">
        <f>IF(E2=0,"",E3/E2)</f>
        <v/>
      </c>
      <c r="F11" s="7">
        <f>IF(F2=0,"",F3/F2)</f>
        <v/>
      </c>
      <c r="G11" s="7">
        <f>IF(G2=0,"",G3/G2)</f>
        <v/>
      </c>
    </row>
    <row r="12">
      <c r="A12" t="inlineStr">
        <is>
          <t>归母净利率（自动）</t>
        </is>
      </c>
      <c r="B12" s="7">
        <f>IF(B2=0,"",B9/B2)</f>
        <v/>
      </c>
      <c r="C12" s="7">
        <f>IF(C2=0,"",C9/C2)</f>
        <v/>
      </c>
      <c r="D12" s="7">
        <f>IF(D2=0,"",D9/D2)</f>
        <v/>
      </c>
      <c r="E12" s="7">
        <f>IF(E2=0,"",E9/E2)</f>
        <v/>
      </c>
      <c r="F12" s="7">
        <f>IF(F2=0,"",F9/F2)</f>
        <v/>
      </c>
      <c r="G12" s="7">
        <f>IF(G2=0,"",G9/G2)</f>
        <v/>
      </c>
    </row>
    <row r="13">
      <c r="A13" t="inlineStr">
        <is>
          <t>扣非归母净利润（自动=归母-非经常）</t>
        </is>
      </c>
      <c r="B13" s="10">
        <f>B9-B10</f>
        <v/>
      </c>
      <c r="C13" s="10">
        <f>C9-C10</f>
        <v/>
      </c>
      <c r="D13" s="10">
        <f>D9-D10</f>
        <v/>
      </c>
      <c r="E13" s="10">
        <f>E9-E10</f>
        <v/>
      </c>
      <c r="F13" s="10">
        <f>F9-F10</f>
        <v/>
      </c>
      <c r="G13" s="10">
        <f>G9-G10</f>
        <v/>
      </c>
    </row>
    <row r="15">
      <c r="A15" s="11" t="inlineStr">
        <is>
          <t>【本表判断】利润［真/有水分］，水分主要来自 ____ → 填 memo 第 4 节</t>
        </is>
      </c>
    </row>
  </sheetData>
  <mergeCells count="1">
    <mergeCell ref="A15:H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30" customWidth="1" min="9" max="9"/>
  </cols>
  <sheetData>
    <row r="1">
      <c r="A1" s="4" t="inlineStr">
        <is>
          <t>科目（单位：百万）</t>
        </is>
      </c>
      <c r="B1" s="4" t="inlineStr">
        <is>
          <t>FY2021</t>
        </is>
      </c>
      <c r="C1" s="4" t="inlineStr">
        <is>
          <t>FY2022</t>
        </is>
      </c>
      <c r="D1" s="4" t="inlineStr">
        <is>
          <t>FY2023</t>
        </is>
      </c>
      <c r="E1" s="4" t="inlineStr">
        <is>
          <t>FY2024</t>
        </is>
      </c>
      <c r="F1" s="4" t="inlineStr">
        <is>
          <t>FY2025</t>
        </is>
      </c>
      <c r="G1" s="4" t="inlineStr">
        <is>
          <t>最新中报/TTM</t>
        </is>
      </c>
      <c r="H1" s="4" t="inlineStr">
        <is>
          <t>5年合计(自动)</t>
        </is>
      </c>
      <c r="I1" s="4" t="inlineStr">
        <is>
          <t>备注</t>
        </is>
      </c>
    </row>
    <row r="2">
      <c r="A2" t="inlineStr">
        <is>
          <t>经营活动现金流净额</t>
        </is>
      </c>
      <c r="B2" s="5" t="n">
        <v>-1562.6</v>
      </c>
      <c r="C2" s="5" t="n">
        <v>4009.3</v>
      </c>
      <c r="D2" s="5" t="n">
        <v>2495.1</v>
      </c>
      <c r="E2" s="5" t="n">
        <v>6782.3</v>
      </c>
      <c r="F2" s="5" t="n">
        <v>12128.3</v>
      </c>
      <c r="G2" s="5" t="n"/>
      <c r="H2" s="6">
        <f>SUM(B2:F2)</f>
        <v/>
      </c>
      <c r="I2" t="inlineStr">
        <is>
          <t>FY2023 OCF=2495.1(2023年报p161)；FY2021建造垫资为负</t>
        </is>
      </c>
    </row>
    <row r="3">
      <c r="A3" t="inlineStr">
        <is>
          <t>净利润（从Sheet2带出也行，手填）</t>
        </is>
      </c>
      <c r="B3" s="5" t="n">
        <v>8120.3</v>
      </c>
      <c r="C3" s="5" t="n">
        <v>5515</v>
      </c>
      <c r="D3" s="5" t="n">
        <v>5297.2</v>
      </c>
      <c r="E3" s="5" t="n">
        <v>3973.6</v>
      </c>
      <c r="F3" s="5" t="n">
        <v>4704.6</v>
      </c>
      <c r="G3" s="5" t="n"/>
      <c r="H3" s="6">
        <f>SUM(B3:F3)</f>
        <v/>
      </c>
    </row>
    <row r="4">
      <c r="A4" t="inlineStr">
        <is>
          <t>购建固定/无形资产支出（资本开支，填负数）</t>
        </is>
      </c>
      <c r="B4" s="5" t="n">
        <v>-8588.4</v>
      </c>
      <c r="C4" s="5" t="n">
        <v>-5468.1</v>
      </c>
      <c r="D4" s="5" t="n">
        <v>-3759.7</v>
      </c>
      <c r="E4" s="5" t="n">
        <v>-2366.4</v>
      </c>
      <c r="F4" s="5" t="n">
        <v>-1862.3</v>
      </c>
      <c r="G4" s="5" t="n"/>
      <c r="H4" s="6">
        <f>SUM(B4:F4)</f>
        <v/>
      </c>
      <c r="I4" t="inlineStr">
        <is>
          <t>capex=购PPE+增置无形资产(BOT建造支出在经营现金流,此处为狭义capex)</t>
        </is>
      </c>
    </row>
    <row r="5">
      <c r="A5" t="inlineStr">
        <is>
          <t>投资活动现金流净额</t>
        </is>
      </c>
      <c r="B5" s="5" t="n">
        <v>-10424.9</v>
      </c>
      <c r="C5" s="5" t="n">
        <v>-6135.7</v>
      </c>
      <c r="D5" s="5" t="n">
        <v>-3839.2</v>
      </c>
      <c r="E5" s="5" t="n">
        <v>-2162.7</v>
      </c>
      <c r="F5" s="5" t="n">
        <v>-1675.2</v>
      </c>
      <c r="G5" s="5" t="n"/>
      <c r="H5" s="6">
        <f>SUM(B5:F5)</f>
        <v/>
      </c>
    </row>
    <row r="6">
      <c r="A6" t="inlineStr">
        <is>
          <t>筹资活动现金流净额</t>
        </is>
      </c>
      <c r="B6" s="5" t="n">
        <v>15853.4</v>
      </c>
      <c r="C6" s="5" t="n">
        <v>-1149.6</v>
      </c>
      <c r="D6" s="5" t="n">
        <v>-549.4</v>
      </c>
      <c r="E6" s="5" t="n">
        <v>-5032.6</v>
      </c>
      <c r="F6" s="5" t="n">
        <v>-8267.299999999999</v>
      </c>
      <c r="G6" s="5" t="n"/>
      <c r="H6" s="6">
        <f>SUM(B6:F6)</f>
        <v/>
      </c>
    </row>
    <row r="7">
      <c r="A7" t="inlineStr">
        <is>
          <t>已派股息（填负数）</t>
        </is>
      </c>
      <c r="B7" s="5" t="n">
        <v>-2150</v>
      </c>
      <c r="C7" s="5" t="n">
        <v>-1842.9</v>
      </c>
      <c r="D7" s="5" t="n">
        <v>-1412.9</v>
      </c>
      <c r="E7" s="5" t="n">
        <v>-1351.5</v>
      </c>
      <c r="F7" s="5" t="n">
        <v>-1474.3</v>
      </c>
      <c r="G7" s="5" t="n"/>
      <c r="H7" s="6">
        <f>SUM(B7:F7)</f>
        <v/>
      </c>
      <c r="I7" t="inlineStr">
        <is>
          <t>仅归母股东股息；NCI股息+永续分派另计(FY2025合计-508.9)</t>
        </is>
      </c>
    </row>
    <row r="8">
      <c r="A8" t="inlineStr">
        <is>
          <t>期末现金及等价物</t>
        </is>
      </c>
      <c r="B8" s="5" t="n">
        <v>15046.9</v>
      </c>
      <c r="C8" s="5" t="n">
        <v>10591.2</v>
      </c>
      <c r="D8" s="5" t="n">
        <v>8433.200000000001</v>
      </c>
      <c r="E8" s="5" t="n">
        <v>7895.6</v>
      </c>
      <c r="F8" s="5" t="n">
        <v>10334.4</v>
      </c>
      <c r="G8" s="5" t="n"/>
      <c r="H8" s="6">
        <f>SUM(B8:F8)</f>
        <v/>
      </c>
    </row>
    <row r="9">
      <c r="A9" s="3" t="inlineStr">
        <is>
          <t>经营现金流/净利润（自动）★</t>
        </is>
      </c>
      <c r="B9" s="12">
        <f>IF(OR(B3=0,B3=""),"",B2/B3)</f>
        <v/>
      </c>
      <c r="C9" s="12">
        <f>IF(OR(C3=0,C3=""),"",C2/C3)</f>
        <v/>
      </c>
      <c r="D9" s="12">
        <f>IF(OR(D3=0,D3=""),"",D2/D3)</f>
        <v/>
      </c>
      <c r="E9" s="12">
        <f>IF(OR(E3=0,E3=""),"",E2/E3)</f>
        <v/>
      </c>
      <c r="F9" s="12">
        <f>IF(OR(F3=0,F3=""),"",F2/F3)</f>
        <v/>
      </c>
      <c r="G9" s="12">
        <f>IF(OR(G3=0,G3=""),"",G2/G3)</f>
        <v/>
      </c>
      <c r="H9" s="12">
        <f>IF(H3=0,"",H2/H3)</f>
        <v/>
      </c>
      <c r="I9" t="inlineStr">
        <is>
          <t>5年比值 &lt;0.8 = 利润含水</t>
        </is>
      </c>
    </row>
    <row r="10">
      <c r="A10" s="3" t="inlineStr">
        <is>
          <t>自由现金流 = 经营现金流 + 资本开支（自动）★</t>
        </is>
      </c>
      <c r="B10" s="6">
        <f>B2+B4</f>
        <v/>
      </c>
      <c r="C10" s="6">
        <f>C2+C4</f>
        <v/>
      </c>
      <c r="D10" s="6">
        <f>D2+D4</f>
        <v/>
      </c>
      <c r="E10" s="6">
        <f>E2+E4</f>
        <v/>
      </c>
      <c r="F10" s="6">
        <f>F2+F4</f>
        <v/>
      </c>
      <c r="G10" s="6">
        <f>G2+G4</f>
        <v/>
      </c>
      <c r="H10" s="6">
        <f>H2+H4</f>
        <v/>
      </c>
      <c r="I10" t="inlineStr">
        <is>
          <t>5年加总为负 = 一直在烧钱，分红靠借</t>
        </is>
      </c>
    </row>
    <row r="12">
      <c r="A12" s="11" t="inlineStr">
        <is>
          <t>【本表判断】现金［够/紧张］；分红资金来源是［经营现金流/借新还旧/卖资产］→ 填 memo 第 4 节</t>
        </is>
      </c>
    </row>
  </sheetData>
  <mergeCells count="1">
    <mergeCell ref="A12:I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0" customWidth="1" min="8" max="8"/>
  </cols>
  <sheetData>
    <row r="1">
      <c r="A1" s="4" t="inlineStr">
        <is>
          <t>科目（单位：百万）</t>
        </is>
      </c>
      <c r="B1" s="4" t="inlineStr">
        <is>
          <t>FY2021</t>
        </is>
      </c>
      <c r="C1" s="4" t="inlineStr">
        <is>
          <t>FY2022</t>
        </is>
      </c>
      <c r="D1" s="4" t="inlineStr">
        <is>
          <t>FY2023</t>
        </is>
      </c>
      <c r="E1" s="4" t="inlineStr">
        <is>
          <t>FY2024</t>
        </is>
      </c>
      <c r="F1" s="4" t="inlineStr">
        <is>
          <t>FY2025</t>
        </is>
      </c>
      <c r="G1" s="4" t="inlineStr">
        <is>
          <t>最新中报/TTM</t>
        </is>
      </c>
      <c r="H1" s="4" t="inlineStr">
        <is>
          <t>备注/出处提示</t>
        </is>
      </c>
    </row>
    <row r="2">
      <c r="A2" t="inlineStr">
        <is>
          <t>总资产</t>
        </is>
      </c>
      <c r="B2" s="5" t="n">
        <v>200235.6</v>
      </c>
      <c r="C2" s="5" t="n">
        <v>190597.8</v>
      </c>
      <c r="D2" s="5" t="n">
        <v>189182.8</v>
      </c>
      <c r="E2" s="5" t="n">
        <v>186027</v>
      </c>
      <c r="F2" s="5" t="n">
        <v>189143.1</v>
      </c>
      <c r="G2" s="5" t="n"/>
      <c r="H2" t="inlineStr">
        <is>
          <t>总资产=非流动+流动资产总额(各年BS)；五年概要中数字是扣流动负债后的净额，勿混</t>
        </is>
      </c>
    </row>
    <row r="3">
      <c r="A3" t="inlineStr">
        <is>
          <t>净资产（归母权益）</t>
        </is>
      </c>
      <c r="B3" s="5" t="n">
        <v>51777.5</v>
      </c>
      <c r="C3" s="5" t="n">
        <v>47374.1</v>
      </c>
      <c r="D3" s="5" t="n">
        <v>48140.9</v>
      </c>
      <c r="E3" s="5" t="n">
        <v>48211</v>
      </c>
      <c r="F3" s="5" t="n">
        <v>52219.8</v>
      </c>
      <c r="G3" s="5" t="n"/>
    </row>
    <row r="4">
      <c r="A4" t="inlineStr">
        <is>
          <t>货币资金</t>
        </is>
      </c>
      <c r="B4" s="5" t="n">
        <v>15046.9</v>
      </c>
      <c r="C4" s="5" t="n">
        <v>10591.2</v>
      </c>
      <c r="D4" s="5" t="n">
        <v>8433.200000000001</v>
      </c>
      <c r="E4" s="5" t="n">
        <v>7895.6</v>
      </c>
      <c r="F4" s="5" t="n">
        <v>10334.4</v>
      </c>
      <c r="G4" s="5" t="n"/>
    </row>
    <row r="5">
      <c r="A5" t="inlineStr">
        <is>
          <t>短期借贷（一年内到期）</t>
        </is>
      </c>
      <c r="B5" s="5" t="n">
        <v>13940.7</v>
      </c>
      <c r="C5" s="5" t="n">
        <v>20178.2</v>
      </c>
      <c r="D5" s="5" t="n">
        <v>23118.4</v>
      </c>
      <c r="E5" s="5" t="n">
        <v>18704.1</v>
      </c>
      <c r="F5" s="5" t="n">
        <v>29939.6</v>
      </c>
      <c r="G5" s="5" t="n"/>
      <c r="H5" t="inlineStr">
        <is>
          <t>流动计息借贷(有抵押+无抵押)，各年BS原文</t>
        </is>
      </c>
    </row>
    <row r="6">
      <c r="A6" t="inlineStr">
        <is>
          <t>长期借贷</t>
        </is>
      </c>
      <c r="B6" s="5" t="n">
        <v>85185</v>
      </c>
      <c r="C6" s="5" t="n">
        <v>74546.3</v>
      </c>
      <c r="D6" s="5" t="n">
        <v>71505.7</v>
      </c>
      <c r="E6" s="5" t="n">
        <v>72965.39999999999</v>
      </c>
      <c r="F6" s="5" t="n">
        <v>58608.9</v>
      </c>
      <c r="G6" s="5" t="n"/>
    </row>
    <row r="7">
      <c r="A7" t="inlineStr">
        <is>
          <t>永续证券（如有，实质是债）</t>
        </is>
      </c>
      <c r="B7" s="5" t="n">
        <v>0</v>
      </c>
      <c r="C7" s="5" t="n">
        <v>3455.4</v>
      </c>
      <c r="D7" s="5" t="n">
        <v>5708.6</v>
      </c>
      <c r="E7" s="5" t="n">
        <v>6802.3</v>
      </c>
      <c r="F7" s="5" t="n">
        <v>7862</v>
      </c>
      <c r="G7" s="5" t="n"/>
    </row>
    <row r="8">
      <c r="A8" t="inlineStr">
        <is>
          <t>贸易应收款</t>
        </is>
      </c>
      <c r="B8" s="5" t="n">
        <v>20138.5</v>
      </c>
      <c r="C8" s="5" t="n">
        <v>20476.3</v>
      </c>
      <c r="D8" s="5" t="n">
        <v>24419.7</v>
      </c>
      <c r="E8" s="5" t="n">
        <v>24713.9</v>
      </c>
      <c r="F8" s="5" t="n">
        <v>27615.6</v>
      </c>
      <c r="G8" s="5" t="n"/>
      <c r="H8" t="inlineStr">
        <is>
          <t>流动"应收账款、其他应收款项、按金及预付款项"合计；KAM口径纯应收FY2025=24152</t>
        </is>
      </c>
    </row>
    <row r="9">
      <c r="A9" t="inlineStr">
        <is>
          <t>特许经营权应收款（流动+非流动加总）★</t>
        </is>
      </c>
      <c r="B9" s="5" t="n">
        <v>113878.9</v>
      </c>
      <c r="C9" s="5" t="n">
        <v>109430.4</v>
      </c>
      <c r="D9" s="5" t="n">
        <v>107971.1</v>
      </c>
      <c r="E9" s="5" t="n">
        <v>107281.9</v>
      </c>
      <c r="F9" s="5" t="n">
        <v>104934.1</v>
      </c>
      <c r="G9" s="5" t="n"/>
      <c r="H9" t="inlineStr">
        <is>
          <t>合约资产=非流动+流动(FY2025:93569.8+11364.3=104934.1,与KAM 1049.34亿吻合)</t>
        </is>
      </c>
    </row>
    <row r="10">
      <c r="A10" t="inlineStr">
        <is>
          <t>应收款减值拨备</t>
        </is>
      </c>
      <c r="B10" s="5" t="n"/>
      <c r="C10" s="5" t="n"/>
      <c r="D10" s="5" t="n"/>
      <c r="E10" s="5" t="n"/>
      <c r="F10" s="5" t="n">
        <v>2663</v>
      </c>
      <c r="G10" s="5" t="n"/>
    </row>
    <row r="11">
      <c r="A11" t="inlineStr">
        <is>
          <t>平均融资成本 %（借贷附注）</t>
        </is>
      </c>
      <c r="B11" s="5" t="n">
        <v>0.035</v>
      </c>
      <c r="C11" s="5" t="n">
        <v>0.036</v>
      </c>
      <c r="D11" s="5" t="n">
        <v>0.037</v>
      </c>
      <c r="E11" s="5" t="n">
        <v>0.032</v>
      </c>
      <c r="F11" s="5" t="n">
        <v>0.026</v>
      </c>
      <c r="G11" s="5" t="n"/>
      <c r="H11" t="inlineStr">
        <is>
          <t>[推算]=已付利息/平均总借贷(不含永续)</t>
        </is>
      </c>
    </row>
    <row r="12">
      <c r="A12" t="inlineStr">
        <is>
          <t>有息负债合计（自动）</t>
        </is>
      </c>
      <c r="B12" s="6">
        <f>B5+B6+B7</f>
        <v/>
      </c>
      <c r="C12" s="6">
        <f>C5+C6+C7</f>
        <v/>
      </c>
      <c r="D12" s="6">
        <f>D5+D6+D7</f>
        <v/>
      </c>
      <c r="E12" s="6">
        <f>E5+E6+E7</f>
        <v/>
      </c>
      <c r="F12" s="6">
        <f>F5+F6+F7</f>
        <v/>
      </c>
      <c r="G12" s="6">
        <f>G5+G6+G7</f>
        <v/>
      </c>
    </row>
    <row r="13">
      <c r="A13" t="inlineStr">
        <is>
          <t>净负债 = 有息负债-货币资金（自动）</t>
        </is>
      </c>
      <c r="B13" s="6">
        <f>B5+B6+B7-B4</f>
        <v/>
      </c>
      <c r="C13" s="6">
        <f>C5+C6+C7-C4</f>
        <v/>
      </c>
      <c r="D13" s="6">
        <f>D5+D6+D7-D4</f>
        <v/>
      </c>
      <c r="E13" s="6">
        <f>E5+E6+E7-E4</f>
        <v/>
      </c>
      <c r="F13" s="6">
        <f>F5+F6+F7-F4</f>
        <v/>
      </c>
      <c r="G13" s="6">
        <f>G5+G6+G7-G4</f>
        <v/>
      </c>
    </row>
    <row r="14">
      <c r="A14" t="inlineStr">
        <is>
          <t>净负债/净资产（自动）</t>
        </is>
      </c>
      <c r="B14" s="7">
        <f>IF(B3=0,"",(B5+B6+B7-B4)/B3)</f>
        <v/>
      </c>
      <c r="C14" s="7">
        <f>IF(C3=0,"",(C5+C6+C7-C4)/C3)</f>
        <v/>
      </c>
      <c r="D14" s="7">
        <f>IF(D3=0,"",(D5+D6+D7-D4)/D3)</f>
        <v/>
      </c>
      <c r="E14" s="7">
        <f>IF(E3=0,"",(E5+E6+E7-E4)/E3)</f>
        <v/>
      </c>
      <c r="F14" s="7">
        <f>IF(F3=0,"",(F5+F6+F7-F4)/F3)</f>
        <v/>
      </c>
      <c r="G14" s="7">
        <f>IF(G3=0,"",(G5+G6+G7-G4)/G3)</f>
        <v/>
      </c>
    </row>
    <row r="15">
      <c r="A15" t="inlineStr">
        <is>
          <t>两类应收合计占总资产（自动）★</t>
        </is>
      </c>
      <c r="B15" s="7">
        <f>IF(B2=0,"",(B8+B9)/B2)</f>
        <v/>
      </c>
      <c r="C15" s="7">
        <f>IF(C2=0,"",(C8+C9)/C2)</f>
        <v/>
      </c>
      <c r="D15" s="7">
        <f>IF(D2=0,"",(D8+D9)/D2)</f>
        <v/>
      </c>
      <c r="E15" s="7">
        <f>IF(E2=0,"",(E8+E9)/E2)</f>
        <v/>
      </c>
      <c r="F15" s="7">
        <f>IF(F2=0,"",(F8+F9)/F2)</f>
        <v/>
      </c>
      <c r="G15" s="7">
        <f>IF(G2=0,"",(G8+G9)/G2)</f>
        <v/>
      </c>
    </row>
    <row r="17">
      <c r="A17" s="11" t="inlineStr">
        <is>
          <t>【本表判断】债务［安全/危险］；应收占比趋势［改善/恶化］；ROIC vs 融资成本谁高 → 填 memo 第 4 节</t>
        </is>
      </c>
    </row>
  </sheetData>
  <mergeCells count="1">
    <mergeCell ref="A17:H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4" customWidth="1" min="10" max="10"/>
    <col width="30" customWidth="1" min="11" max="11"/>
  </cols>
  <sheetData>
    <row r="1">
      <c r="A1" s="4" t="inlineStr">
        <is>
          <t>公司</t>
        </is>
      </c>
      <c r="B1" s="4" t="inlineStr">
        <is>
          <t>代码</t>
        </is>
      </c>
      <c r="C1" s="4" t="inlineStr">
        <is>
          <t>市值(亿)</t>
        </is>
      </c>
      <c r="D1" s="4" t="inlineStr">
        <is>
          <t>PE(TTM)</t>
        </is>
      </c>
      <c r="E1" s="4" t="inlineStr">
        <is>
          <t>PB</t>
        </is>
      </c>
      <c r="F1" s="4" t="inlineStr">
        <is>
          <t>股息率</t>
        </is>
      </c>
      <c r="G1" s="4" t="inlineStr">
        <is>
          <t>ROE%</t>
        </is>
      </c>
      <c r="H1" s="4" t="inlineStr">
        <is>
          <t>ROE÷PB★</t>
        </is>
      </c>
      <c r="I1" s="4" t="inlineStr">
        <is>
          <t>归母净利(亿)</t>
        </is>
      </c>
      <c r="J1" s="4" t="inlineStr">
        <is>
          <t>经营现金流(亿)</t>
        </is>
      </c>
      <c r="K1" s="4" t="inlineStr">
        <is>
          <t>一句话：它比本标的好/差在哪</t>
        </is>
      </c>
    </row>
    <row r="2">
      <c r="A2" t="inlineStr">
        <is>
          <t>北控水务</t>
        </is>
      </c>
      <c r="B2" s="5" t="inlineStr">
        <is>
          <t>00371.HK</t>
        </is>
      </c>
      <c r="C2" s="5" t="n">
        <v>234.1</v>
      </c>
      <c r="D2" s="5" t="n">
        <v>13.6</v>
      </c>
      <c r="E2" s="5" t="n">
        <v>0.76</v>
      </c>
      <c r="F2" s="5" t="inlineStr">
        <is>
          <t>7.14%</t>
        </is>
      </c>
      <c r="G2" s="5" t="n">
        <v>5.01</v>
      </c>
      <c r="H2" s="5" t="n">
        <v>6.6</v>
      </c>
      <c r="I2" s="5" t="inlineStr">
        <is>
          <t>15.6(RMB)</t>
        </is>
      </c>
      <c r="J2" s="5" t="inlineStr">
        <is>
          <t>57.4(RMB)</t>
        </is>
      </c>
      <c r="K2" s="5" t="inlineStr">
        <is>
          <t>ROE÷PB仅6.6垫底；财务费用149%/少数股东42%两道闸门远差于光大</t>
        </is>
      </c>
    </row>
    <row r="3">
      <c r="A3" t="inlineStr">
        <is>
          <t>光大环境</t>
        </is>
      </c>
      <c r="B3" s="5" t="inlineStr">
        <is>
          <t>00257.HK</t>
        </is>
      </c>
      <c r="C3" s="5" t="n">
        <v>313.3</v>
      </c>
      <c r="D3" s="5" t="n">
        <v>8</v>
      </c>
      <c r="E3" s="5" t="n">
        <v>0.6</v>
      </c>
      <c r="F3" s="5" t="inlineStr">
        <is>
          <t>5.29%</t>
        </is>
      </c>
      <c r="G3" s="5" t="n">
        <v>7.82</v>
      </c>
      <c r="H3" s="5" t="n">
        <v>13</v>
      </c>
      <c r="I3" s="5" t="inlineStr">
        <is>
          <t>39.3(HKD)</t>
        </is>
      </c>
      <c r="J3" s="5" t="inlineStr">
        <is>
          <t>121.3(HKD)</t>
        </is>
      </c>
      <c r="K3" s="5" t="inlineStr">
        <is>
          <t>本标的：ROE÷PB排第二（次于中国水务）且ROE在升</t>
        </is>
      </c>
    </row>
    <row r="4">
      <c r="A4" t="inlineStr">
        <is>
          <t>中国水务</t>
        </is>
      </c>
      <c r="B4" s="5" t="inlineStr">
        <is>
          <t>00855.HK</t>
        </is>
      </c>
      <c r="C4" s="5" t="n">
        <v>75.8</v>
      </c>
      <c r="D4" s="5" t="n"/>
      <c r="E4" s="5" t="n">
        <v>0.5</v>
      </c>
      <c r="F4" s="5" t="inlineStr">
        <is>
          <t>待补</t>
        </is>
      </c>
      <c r="G4" s="5" t="n">
        <v>6.98</v>
      </c>
      <c r="H4" s="5" t="n">
        <v>14</v>
      </c>
      <c r="I4" s="5" t="inlineStr">
        <is>
          <t>待补</t>
        </is>
      </c>
      <c r="J4" s="5" t="inlineStr">
        <is>
          <t>待补</t>
        </is>
      </c>
      <c r="K4" s="5" t="inlineStr">
        <is>
          <t>ROE÷PB全组最高（14.0）——#15的对质对象，体量小、供水为主、负债率也高，需五行对比交待</t>
        </is>
      </c>
    </row>
    <row r="5">
      <c r="A5" t="inlineStr">
        <is>
          <t>粤海投资</t>
        </is>
      </c>
      <c r="B5" s="5" t="inlineStr">
        <is>
          <t>00270.HK</t>
        </is>
      </c>
      <c r="C5" s="5" t="n">
        <v>548.5</v>
      </c>
      <c r="D5" s="5" t="n"/>
      <c r="E5" s="5" t="n">
        <v>1.28</v>
      </c>
      <c r="F5" s="5" t="inlineStr">
        <is>
          <t>待补</t>
        </is>
      </c>
      <c r="G5" s="5" t="n">
        <v>11.01</v>
      </c>
      <c r="H5" s="5" t="n">
        <v>8.6</v>
      </c>
      <c r="I5" s="5" t="inlineStr">
        <is>
          <t>待补</t>
        </is>
      </c>
      <c r="J5" s="5" t="inlineStr">
        <is>
          <t>待补</t>
        </is>
      </c>
      <c r="K5" s="5" t="inlineStr">
        <is>
          <t>ROE最高但PB&gt;1无折价，东深供水现金牛，不同赛道</t>
        </is>
      </c>
    </row>
    <row r="6">
      <c r="A6" t="inlineStr">
        <is>
          <t>首创环保(A)</t>
        </is>
      </c>
      <c r="B6" s="5" t="inlineStr">
        <is>
          <t>600008.SH</t>
        </is>
      </c>
      <c r="C6" s="5" t="n">
        <v>219.5</v>
      </c>
      <c r="D6" s="5" t="n">
        <v>12.77</v>
      </c>
      <c r="E6" s="5" t="n">
        <v>1.07</v>
      </c>
      <c r="F6" s="5" t="inlineStr">
        <is>
          <t>待补</t>
        </is>
      </c>
      <c r="G6" s="5" t="n">
        <v>1.39</v>
      </c>
      <c r="H6" s="5" t="n">
        <v>1.3</v>
      </c>
      <c r="I6" s="5" t="inlineStr">
        <is>
          <t>17.2(RMB)</t>
        </is>
      </c>
      <c r="J6" s="5" t="inlineStr">
        <is>
          <t>待补</t>
        </is>
      </c>
      <c r="K6" s="5" t="inlineStr">
        <is>
          <t>A股无折价、ROE最低</t>
        </is>
      </c>
    </row>
    <row r="7">
      <c r="A7" t="inlineStr">
        <is>
          <t>洪城环境(A)</t>
        </is>
      </c>
      <c r="B7" s="5" t="inlineStr">
        <is>
          <t>600461.SH</t>
        </is>
      </c>
      <c r="C7" s="5" t="n">
        <v>119.2</v>
      </c>
      <c r="D7" s="5" t="n">
        <v>9.42</v>
      </c>
      <c r="E7" s="5" t="n">
        <v>1.23</v>
      </c>
      <c r="F7" s="5" t="inlineStr">
        <is>
          <t>待补</t>
        </is>
      </c>
      <c r="G7" s="5" t="n">
        <v>3.11</v>
      </c>
      <c r="H7" s="5" t="n">
        <v>2.5</v>
      </c>
      <c r="I7" s="5" t="inlineStr">
        <is>
          <t>12.7(RMB)</t>
        </is>
      </c>
      <c r="J7" s="5" t="inlineStr">
        <is>
          <t>待补</t>
        </is>
      </c>
      <c r="K7" s="5" t="inlineStr">
        <is>
          <t>A股PB&gt;1，港股折价是市场结构差异</t>
        </is>
      </c>
    </row>
    <row r="8">
      <c r="A8" t="inlineStr">
        <is>
          <t>兴蓉环境(A)</t>
        </is>
      </c>
      <c r="B8" s="5" t="inlineStr">
        <is>
          <t>000598.SZ</t>
        </is>
      </c>
      <c r="C8" s="5" t="n">
        <v>220.5</v>
      </c>
      <c r="D8" s="5" t="n">
        <v>10.45</v>
      </c>
      <c r="E8" s="5" t="n">
        <v>1.13</v>
      </c>
      <c r="F8" s="5" t="inlineStr">
        <is>
          <t>待补</t>
        </is>
      </c>
      <c r="G8" s="5" t="n">
        <v>2.64</v>
      </c>
      <c r="H8" s="5" t="n">
        <v>2.3</v>
      </c>
      <c r="I8" s="5" t="inlineStr">
        <is>
          <t>21.1(RMB)</t>
        </is>
      </c>
      <c r="J8" s="5" t="inlineStr">
        <is>
          <t>待补</t>
        </is>
      </c>
      <c r="K8" s="5" t="inlineStr">
        <is>
          <t>同上</t>
        </is>
      </c>
    </row>
    <row r="10">
      <c r="A10" s="5" t="inlineStr">
        <is>
          <t>【本表判断】ROE÷PB排序（东财TTM口径，2026-08-03快照）：中国水务14.0 &gt; 光大13.0 &gt; 粤海8.6 &gt; 北水6.6 &gt; A股三家1.3-2.5——光大排第二且ROE在升（7.0%→7.5%），#15🟢；但中国水务更高，替代品五行对比见报告第5节。仙股（首创环境25.3/康达14.4）流动性折价主导不构成替代；粤丰环保已私有化退市剔除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4" t="n"/>
    </row>
    <row r="12">
      <c r="A12" s="9" t="inlineStr">
        <is>
          <t>【本表判断】同行里谁最便宜？先看 ROE÷PB 排序（账面回报÷买入价格），再问便宜是因为质量差还是市场没看见？→ 填 memo 第 5 节</t>
        </is>
      </c>
    </row>
    <row r="14">
      <c r="A14" t="inlineStr">
        <is>
          <t>── 环保同行参照（东财snapshot 2026-08-01，px_snapshot.csv）──</t>
        </is>
      </c>
    </row>
    <row r="15">
      <c r="A15" t="inlineStr">
        <is>
          <t>东江环保</t>
        </is>
      </c>
      <c r="B15" t="inlineStr">
        <is>
          <t>00895.HK</t>
        </is>
      </c>
      <c r="E15" t="n">
        <v>0.73</v>
      </c>
      <c r="G15" t="n">
        <v>-6.53</v>
      </c>
      <c r="H15" t="n">
        <v>-8.9</v>
      </c>
      <c r="K15" t="inlineStr">
        <is>
          <t>危废处理；ROE为负，不构成替代</t>
        </is>
      </c>
    </row>
    <row r="16">
      <c r="A16" t="inlineStr">
        <is>
          <t>康达环保</t>
        </is>
      </c>
      <c r="B16" t="inlineStr">
        <is>
          <t>06136.HK</t>
        </is>
      </c>
      <c r="E16" t="n">
        <v>0.27</v>
      </c>
      <c r="G16" t="n">
        <v>3.9</v>
      </c>
      <c r="H16" t="n">
        <v>14.4</v>
      </c>
      <c r="K16" t="inlineStr">
        <is>
          <t>小市值污水BOT；PB更低但ROE仅3.9%、流动性差</t>
        </is>
      </c>
    </row>
    <row r="17">
      <c r="A17" t="inlineStr">
        <is>
          <t>首创环境</t>
        </is>
      </c>
      <c r="B17" t="inlineStr">
        <is>
          <t>03989.HK</t>
        </is>
      </c>
      <c r="E17" t="n">
        <v>0.16</v>
      </c>
      <c r="G17" t="n">
        <v>4.04</v>
      </c>
      <c r="H17" t="n">
        <v>25.3</v>
      </c>
      <c r="K17" t="inlineStr">
        <is>
          <t>ROE÷PB样本第一，但仙股、常年不分红，流动性折价主导——不构成真实替代</t>
        </is>
      </c>
    </row>
  </sheetData>
  <mergeCells count="2">
    <mergeCell ref="A10:K10"/>
    <mergeCell ref="A12:K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26" customWidth="1" min="10" max="10"/>
  </cols>
  <sheetData>
    <row r="1">
      <c r="A1" s="3" t="inlineStr">
        <is>
          <t>股价与估值（数据源：fetch_stock_price.py / 东财公开接口；价格为交易货币原币）</t>
        </is>
      </c>
    </row>
    <row r="3">
      <c r="A3" s="3" t="inlineStr">
        <is>
          <t>A. 历年股价（annual 子命令；年末收盘为不复权，涨跌幅为前复权）</t>
        </is>
      </c>
    </row>
    <row r="4">
      <c r="A4" s="4" t="inlineStr">
        <is>
          <t>年度</t>
        </is>
      </c>
      <c r="B4" s="4" t="inlineStr">
        <is>
          <t>年末收盘</t>
        </is>
      </c>
      <c r="C4" s="4" t="inlineStr">
        <is>
          <t>年内均价</t>
        </is>
      </c>
      <c r="D4" s="4" t="inlineStr">
        <is>
          <t>年内最高</t>
        </is>
      </c>
      <c r="E4" s="4" t="inlineStr">
        <is>
          <t>年内最低</t>
        </is>
      </c>
      <c r="F4" s="4" t="inlineStr">
        <is>
          <t>年度涨跌%</t>
        </is>
      </c>
      <c r="G4" s="4" t="inlineStr">
        <is>
          <t>年末市值(亿)</t>
        </is>
      </c>
      <c r="H4" s="4" t="inlineStr"/>
      <c r="I4" s="4" t="inlineStr"/>
      <c r="J4" s="4" t="inlineStr">
        <is>
          <t>备注</t>
        </is>
      </c>
    </row>
    <row r="5">
      <c r="A5" s="5" t="n">
        <v>2015</v>
      </c>
      <c r="B5" s="5" t="n">
        <v>9.960000000000001</v>
      </c>
      <c r="C5" s="5" t="n">
        <v>12.2</v>
      </c>
      <c r="D5" s="5" t="n">
        <v>16.28</v>
      </c>
      <c r="E5" s="5" t="n">
        <v>9.06</v>
      </c>
      <c r="F5" s="5" t="n"/>
      <c r="G5" s="5" t="n">
        <v>611.8</v>
      </c>
      <c r="J5" s="5" t="inlineStr"/>
    </row>
    <row r="6">
      <c r="A6" s="5" t="n">
        <v>2016</v>
      </c>
      <c r="B6" s="5" t="n">
        <v>8.789999999999999</v>
      </c>
      <c r="C6" s="5" t="n">
        <v>8.84</v>
      </c>
      <c r="D6" s="5" t="n">
        <v>11.08</v>
      </c>
      <c r="E6" s="5" t="n">
        <v>7.11</v>
      </c>
      <c r="F6" s="5" t="n">
        <v>-11.7</v>
      </c>
      <c r="G6" s="5" t="n">
        <v>540</v>
      </c>
      <c r="J6" s="5" t="inlineStr"/>
    </row>
    <row r="7">
      <c r="A7" s="5" t="n">
        <v>2017</v>
      </c>
      <c r="B7" s="5" t="n">
        <v>11.16</v>
      </c>
      <c r="C7" s="5" t="n">
        <v>10.19</v>
      </c>
      <c r="D7" s="5" t="n">
        <v>11.4</v>
      </c>
      <c r="E7" s="5" t="n">
        <v>8.57</v>
      </c>
      <c r="F7" s="5" t="n">
        <v>27</v>
      </c>
      <c r="G7" s="5" t="n">
        <v>685.6</v>
      </c>
      <c r="J7" s="5" t="inlineStr">
        <is>
          <t>历史高点：垃圾焚烧成长股定价</t>
        </is>
      </c>
    </row>
    <row r="8">
      <c r="A8" s="5" t="n">
        <v>2018</v>
      </c>
      <c r="B8" s="5" t="n">
        <v>7.02</v>
      </c>
      <c r="C8" s="5" t="n">
        <v>9.32</v>
      </c>
      <c r="D8" s="5" t="n">
        <v>12.8</v>
      </c>
      <c r="E8" s="5" t="n">
        <v>6.06</v>
      </c>
      <c r="F8" s="5" t="n">
        <v>-37.1</v>
      </c>
      <c r="G8" s="5" t="n">
        <v>431.2</v>
      </c>
      <c r="J8" s="5" t="inlineStr"/>
    </row>
    <row r="9">
      <c r="A9" s="5" t="n">
        <v>2019</v>
      </c>
      <c r="B9" s="5" t="n">
        <v>6.25</v>
      </c>
      <c r="C9" s="5" t="n">
        <v>6.99</v>
      </c>
      <c r="D9" s="5" t="n">
        <v>8.52</v>
      </c>
      <c r="E9" s="5" t="n">
        <v>5.8</v>
      </c>
      <c r="F9" s="5" t="n">
        <v>-11</v>
      </c>
      <c r="G9" s="5" t="n">
        <v>383.9</v>
      </c>
      <c r="J9" s="5" t="inlineStr"/>
    </row>
    <row r="10">
      <c r="A10" s="5" t="n">
        <v>2020</v>
      </c>
      <c r="B10" s="5" t="n">
        <v>4.38</v>
      </c>
      <c r="C10" s="5" t="n">
        <v>4.65</v>
      </c>
      <c r="D10" s="5" t="n">
        <v>6.38</v>
      </c>
      <c r="E10" s="5" t="n">
        <v>3.7</v>
      </c>
      <c r="F10" s="5" t="n">
        <v>-29.9</v>
      </c>
      <c r="G10" s="5" t="n">
        <v>269.1</v>
      </c>
      <c r="J10" s="5" t="inlineStr"/>
    </row>
    <row r="11">
      <c r="A11" s="5" t="n">
        <v>2021</v>
      </c>
      <c r="B11" s="5" t="n">
        <v>6.26</v>
      </c>
      <c r="C11" s="5" t="n">
        <v>5.05</v>
      </c>
      <c r="D11" s="5" t="n">
        <v>6.53</v>
      </c>
      <c r="E11" s="5" t="n">
        <v>4.02</v>
      </c>
      <c r="F11" s="5" t="n">
        <v>42.9</v>
      </c>
      <c r="G11" s="5" t="n">
        <v>384.6</v>
      </c>
      <c r="J11" s="5" t="inlineStr">
        <is>
          <t>营收利润双新高之年</t>
        </is>
      </c>
    </row>
    <row r="12">
      <c r="A12" s="5" t="n">
        <v>2022</v>
      </c>
      <c r="B12" s="5" t="n">
        <v>3.49</v>
      </c>
      <c r="C12" s="5" t="n">
        <v>4.31</v>
      </c>
      <c r="D12" s="5" t="n">
        <v>6.65</v>
      </c>
      <c r="E12" s="5" t="n">
        <v>2.56</v>
      </c>
      <c r="F12" s="5" t="n">
        <v>-44.3</v>
      </c>
      <c r="G12" s="5" t="n">
        <v>214.4</v>
      </c>
      <c r="J12" s="5" t="inlineStr">
        <is>
          <t>建造塌缩+商誉减值，年内腰斩</t>
        </is>
      </c>
    </row>
    <row r="13">
      <c r="A13" s="5" t="n">
        <v>2023</v>
      </c>
      <c r="B13" s="5" t="n">
        <v>2.54</v>
      </c>
      <c r="C13" s="5" t="n">
        <v>3.04</v>
      </c>
      <c r="D13" s="5" t="n">
        <v>3.76</v>
      </c>
      <c r="E13" s="5" t="n">
        <v>2.33</v>
      </c>
      <c r="F13" s="5" t="n">
        <v>-27.2</v>
      </c>
      <c r="G13" s="5" t="n">
        <v>156</v>
      </c>
      <c r="J13" s="5" t="inlineStr">
        <is>
          <t>低点2.33≈0.30x PB</t>
        </is>
      </c>
    </row>
    <row r="14">
      <c r="A14" s="5" t="n">
        <v>2024</v>
      </c>
      <c r="B14" s="5" t="n">
        <v>3.87</v>
      </c>
      <c r="C14" s="5" t="n">
        <v>3.42</v>
      </c>
      <c r="D14" s="5" t="n">
        <v>4.14</v>
      </c>
      <c r="E14" s="5" t="n">
        <v>2.38</v>
      </c>
      <c r="F14" s="5" t="n">
        <v>52.4</v>
      </c>
      <c r="G14" s="5" t="n">
        <v>237.7</v>
      </c>
      <c r="J14" s="5" t="inlineStr">
        <is>
          <t>OCF拐点被提前定价：+52%</t>
        </is>
      </c>
    </row>
    <row r="15">
      <c r="A15" s="5" t="n">
        <v>2025</v>
      </c>
      <c r="B15" s="5" t="n">
        <v>4.82</v>
      </c>
      <c r="C15" s="5" t="n">
        <v>4.09</v>
      </c>
      <c r="D15" s="5" t="n">
        <v>5.11</v>
      </c>
      <c r="E15" s="5" t="n">
        <v>3.2</v>
      </c>
      <c r="F15" s="5" t="n">
        <v>24.6</v>
      </c>
      <c r="G15" s="5" t="n">
        <v>296.1</v>
      </c>
      <c r="J15" s="5" t="inlineStr">
        <is>
          <t>归母+16%扭转三连降</t>
        </is>
      </c>
    </row>
    <row r="16">
      <c r="A16" s="5" t="n">
        <v>2026</v>
      </c>
      <c r="B16" s="5" t="n">
        <v>5.1</v>
      </c>
      <c r="C16" s="5" t="n">
        <v>5.13</v>
      </c>
      <c r="D16" s="5" t="n">
        <v>5.9</v>
      </c>
      <c r="E16" s="5" t="n">
        <v>4.51</v>
      </c>
      <c r="F16" s="5" t="n">
        <v>5.8</v>
      </c>
      <c r="G16" s="5" t="n">
        <v>313.3</v>
      </c>
      <c r="J16" s="5" t="inlineStr">
        <is>
          <t>截至07-31；2023低点以来+119%</t>
        </is>
      </c>
    </row>
    <row r="17">
      <c r="A17" t="inlineStr">
        <is>
          <t>11年视角：2015年末 9.96 → 当前 5.10（-49%）；2017年高点 11.40 至今 -55%——长窗口下当前仍在历史下半区，但短窗口（2022-04起）已处 94% 高位</t>
        </is>
      </c>
    </row>
    <row r="18">
      <c r="A18" s="3" t="inlineStr">
        <is>
          <t>B. 每股指标与汇率（BVPS/EPS 从 Sheet2/Sheet4 除以股本；DPS 抄股息附注）</t>
        </is>
      </c>
    </row>
    <row r="19">
      <c r="A19" s="4" t="inlineStr">
        <is>
          <t>项目</t>
        </is>
      </c>
      <c r="B19" s="4" t="inlineStr">
        <is>
          <t>FY2021</t>
        </is>
      </c>
      <c r="C19" s="4" t="inlineStr">
        <is>
          <t>FY2022</t>
        </is>
      </c>
      <c r="D19" s="4" t="inlineStr">
        <is>
          <t>FY2023</t>
        </is>
      </c>
      <c r="E19" s="4" t="inlineStr">
        <is>
          <t>FY2024</t>
        </is>
      </c>
      <c r="F19" s="4" t="inlineStr">
        <is>
          <t>FY2025</t>
        </is>
      </c>
      <c r="G19" s="4" t="inlineStr">
        <is>
          <t>最新中报/TTM</t>
        </is>
      </c>
      <c r="H19" s="4" t="inlineStr">
        <is>
          <t>出处/口径</t>
        </is>
      </c>
    </row>
    <row r="20">
      <c r="A20" t="inlineStr">
        <is>
          <t>总股本（百万股）</t>
        </is>
      </c>
      <c r="B20" s="5" t="n">
        <v>6143</v>
      </c>
      <c r="C20" s="5" t="n">
        <v>6143</v>
      </c>
      <c r="D20" s="5" t="n">
        <v>6143</v>
      </c>
      <c r="E20" s="5" t="n">
        <v>6143</v>
      </c>
      <c r="F20" s="5" t="n">
        <v>6143</v>
      </c>
      <c r="G20" s="5" t="n"/>
      <c r="H20" s="5" t="inlineStr">
        <is>
          <t>2021年报附注13：6,142,975,292股，五年未变</t>
        </is>
      </c>
    </row>
    <row r="21">
      <c r="A21" t="inlineStr">
        <is>
          <t>每股净资产 BVPS（原币，报表币）</t>
        </is>
      </c>
      <c r="B21" s="5" t="n">
        <v>8.43</v>
      </c>
      <c r="C21" s="5" t="n">
        <v>7.71</v>
      </c>
      <c r="D21" s="5" t="n">
        <v>7.84</v>
      </c>
      <c r="E21" s="5" t="n">
        <v>7.85</v>
      </c>
      <c r="F21" s="5" t="n">
        <v>8.5</v>
      </c>
      <c r="G21" s="5" t="n"/>
      <c r="H21" s="5" t="n"/>
    </row>
    <row r="22">
      <c r="A22" t="inlineStr">
        <is>
          <t>每股收益 EPS（报表币）</t>
        </is>
      </c>
      <c r="B22" s="5" t="n">
        <v>110.76</v>
      </c>
      <c r="C22" s="5" t="n">
        <v>74.91</v>
      </c>
      <c r="D22" s="5" t="n">
        <v>72.09999999999999</v>
      </c>
      <c r="E22" s="5" t="n">
        <v>54.98</v>
      </c>
      <c r="F22" s="5" t="n">
        <v>63.9</v>
      </c>
      <c r="G22" s="5" t="n"/>
      <c r="H22" s="5" t="n"/>
    </row>
    <row r="23">
      <c r="A23" t="inlineStr">
        <is>
          <t>每股股息 DPS（含中期+末期，注明币种）</t>
        </is>
      </c>
      <c r="B23" s="5" t="n">
        <v>34</v>
      </c>
      <c r="C23" s="5" t="n">
        <v>24</v>
      </c>
      <c r="D23" s="5" t="n">
        <v>22</v>
      </c>
      <c r="E23" s="5" t="n">
        <v>23</v>
      </c>
      <c r="F23" s="5" t="n">
        <v>27</v>
      </c>
      <c r="G23" s="5" t="n"/>
      <c r="H23" s="5" t="inlineStr">
        <is>
          <t>DPS港仙：FY2021=19+15(2021年报附注12)；FY2022=24;FY2023=22(2023年报MD&amp;A p20);FY2024=23;FY2025=15+12(2025年报)</t>
        </is>
      </c>
    </row>
    <row r="24">
      <c r="A24" t="inlineStr">
        <is>
          <t>汇率：报表币→股价币</t>
        </is>
      </c>
      <c r="B24" s="5" t="n">
        <v>1</v>
      </c>
      <c r="C24" s="5" t="n">
        <v>1</v>
      </c>
      <c r="D24" s="5" t="n">
        <v>1</v>
      </c>
      <c r="E24" s="5" t="n">
        <v>1</v>
      </c>
      <c r="F24" s="5" t="n">
        <v>1</v>
      </c>
      <c r="G24" s="5" t="n"/>
      <c r="H24" s="5" t="inlineStr">
        <is>
          <t>列账货币HKD=股价币HKD，无需折算；PE/PB/股息率均FX-free</t>
        </is>
      </c>
    </row>
    <row r="26">
      <c r="A26" s="3" t="inlineStr">
        <is>
          <t>C. 当前估值与历史分位（valuation 子命令；分位窗口受 BVPS 覆盖年数限制，必须写清窗口）</t>
        </is>
      </c>
    </row>
    <row r="27">
      <c r="A27" s="4" t="inlineStr">
        <is>
          <t>指标</t>
        </is>
      </c>
      <c r="B27" s="4" t="inlineStr">
        <is>
          <t>当前值</t>
        </is>
      </c>
      <c r="C27" s="4" t="inlineStr">
        <is>
          <t>数值分位</t>
        </is>
      </c>
      <c r="D27" s="4" t="inlineStr">
        <is>
          <t>便宜程度分位</t>
        </is>
      </c>
      <c r="E27" s="4" t="inlineStr">
        <is>
          <t>区间下限</t>
        </is>
      </c>
      <c r="F27" s="4" t="inlineStr">
        <is>
          <t>区间上限</t>
        </is>
      </c>
      <c r="G27" s="4" t="inlineStr">
        <is>
          <t>中位</t>
        </is>
      </c>
      <c r="H27" s="4" t="inlineStr">
        <is>
          <t>25%档</t>
        </is>
      </c>
      <c r="I27" s="4" t="inlineStr">
        <is>
          <t>75%档</t>
        </is>
      </c>
      <c r="J27" s="4" t="inlineStr">
        <is>
          <t>分位窗口</t>
        </is>
      </c>
    </row>
    <row r="28">
      <c r="A28" t="inlineStr">
        <is>
          <t>股价（无汇率依赖）</t>
        </is>
      </c>
      <c r="B28" s="5" t="n">
        <v>5.1</v>
      </c>
      <c r="C28" s="5" t="n">
        <v>0.9419999999999999</v>
      </c>
      <c r="D28" s="5" t="n">
        <v>0.058</v>
      </c>
      <c r="E28" s="5" t="n">
        <v>2.35</v>
      </c>
      <c r="F28" s="5" t="n">
        <v>5.86</v>
      </c>
      <c r="G28" s="5" t="n">
        <v>3.61</v>
      </c>
      <c r="H28" s="5" t="n">
        <v>3.22</v>
      </c>
      <c r="I28" s="5" t="n">
        <v>4.5</v>
      </c>
      <c r="J28" s="5" t="inlineStr">
        <is>
          <t>2022-04-01~2026-07-31（新浪源日线1061个交易日，覆盖FY2021年报披露后）</t>
        </is>
      </c>
    </row>
    <row r="29">
      <c r="A29" t="inlineStr">
        <is>
          <t>PB</t>
        </is>
      </c>
      <c r="B29" s="5" t="n">
        <v>0.6</v>
      </c>
      <c r="C29" s="5" t="n">
        <v>0.846</v>
      </c>
      <c r="D29" s="5" t="n">
        <v>0.154</v>
      </c>
      <c r="E29" s="5" t="n">
        <v>0.305</v>
      </c>
      <c r="F29" s="5" t="n">
        <v>0.724</v>
      </c>
      <c r="G29" s="5" t="n">
        <v>0.457</v>
      </c>
      <c r="H29" s="5" t="n">
        <v>0.401</v>
      </c>
      <c r="I29" s="5" t="n">
        <v>0.548</v>
      </c>
      <c r="J29" s="5" t="inlineStr">
        <is>
          <t>2022-04-01~2026-07-31（新浪源日线1061个交易日，覆盖FY2021年报披露后）</t>
        </is>
      </c>
    </row>
    <row r="30">
      <c r="A30" t="inlineStr">
        <is>
          <t>PE（静态）</t>
        </is>
      </c>
      <c r="B30" s="5" t="n">
        <v>7.98</v>
      </c>
      <c r="C30" s="5" t="n">
        <v>0.821</v>
      </c>
      <c r="D30" s="5" t="n">
        <v>0.179</v>
      </c>
      <c r="E30" s="5" t="n">
        <v>2.36</v>
      </c>
      <c r="F30" s="5" t="n">
        <v>10.33</v>
      </c>
      <c r="G30" s="5" t="n">
        <v>4.65</v>
      </c>
      <c r="H30" s="5" t="n">
        <v>3.68</v>
      </c>
      <c r="I30" s="5" t="n">
        <v>7.28</v>
      </c>
      <c r="J30" s="5" t="inlineStr">
        <is>
          <t>2022-04-01~2026-07-31（新浪源日线1061个交易日，覆盖FY2021年报披露后）</t>
        </is>
      </c>
    </row>
    <row r="31">
      <c r="A31" t="inlineStr">
        <is>
          <t>股息率 %</t>
        </is>
      </c>
      <c r="B31" s="5" t="n">
        <v>5.29</v>
      </c>
      <c r="C31" s="5" t="n">
        <v>0.178</v>
      </c>
      <c r="D31" s="5" t="n">
        <v>0.178</v>
      </c>
      <c r="E31" s="5" t="n">
        <v>4.05</v>
      </c>
      <c r="F31" s="5" t="n">
        <v>13.03</v>
      </c>
      <c r="G31" s="5" t="n">
        <v>6.71</v>
      </c>
      <c r="H31" s="5" t="n">
        <v>5.64</v>
      </c>
      <c r="I31" s="5" t="n">
        <v>8.449999999999999</v>
      </c>
      <c r="J31" s="5" t="inlineStr">
        <is>
          <t>2022-04-01~2026-07-31（新浪源日线1061个交易日，覆盖FY2021年报披露后）</t>
        </is>
      </c>
    </row>
    <row r="33">
      <c r="A33" s="3" t="inlineStr">
        <is>
          <t>D. 价格隐含预期敏感度（把估值倒推成一个业务假设，这是 memo 第 5 节的核心）</t>
        </is>
      </c>
    </row>
    <row r="34">
      <c r="A34" s="2" t="inlineStr">
        <is>
          <t>计算式：隐含权益折价 = 归母权益 − 市值 ÷ 目标PB ；再除以被质疑的那个资产科目 = 隐含减值率</t>
        </is>
      </c>
    </row>
    <row r="35">
      <c r="A35" s="4" t="inlineStr">
        <is>
          <t>PB 档位</t>
        </is>
      </c>
      <c r="B35" s="4" t="inlineStr">
        <is>
          <t>对应股价</t>
        </is>
      </c>
      <c r="C35" s="4" t="inlineStr">
        <is>
          <t>对应市值(亿)</t>
        </is>
      </c>
      <c r="D35" s="4" t="inlineStr">
        <is>
          <t>隐含权益折价(亿)</t>
        </is>
      </c>
      <c r="E35" s="4" t="inlineStr">
        <is>
          <t>隐含减值率</t>
        </is>
      </c>
      <c r="F35" s="4" t="inlineStr">
        <is>
          <t>vs 账面拨备率</t>
        </is>
      </c>
      <c r="G35" s="4" t="inlineStr"/>
      <c r="H35" s="4" t="inlineStr"/>
      <c r="I35" s="4" t="inlineStr"/>
      <c r="J35" s="4" t="inlineStr">
        <is>
          <t>档位含义</t>
        </is>
      </c>
    </row>
    <row r="36">
      <c r="A36" s="5" t="n">
        <v>0.3</v>
      </c>
      <c r="B36" s="5" t="n">
        <v>2.55</v>
      </c>
      <c r="C36" s="5" t="n">
        <v>157</v>
      </c>
      <c r="D36" s="5" t="n">
        <v>366</v>
      </c>
      <c r="E36" s="5" t="inlineStr">
        <is>
          <t>28.3%</t>
        </is>
      </c>
      <c r="F36" s="5" t="inlineStr">
        <is>
          <t>14.0x</t>
        </is>
      </c>
      <c r="J36" s="5" t="inlineStr">
        <is>
          <t>2023年低点档（低点2.33≈0.30x）</t>
        </is>
      </c>
    </row>
    <row r="37">
      <c r="A37" s="5" t="n">
        <v>0.45</v>
      </c>
      <c r="B37" s="5" t="n">
        <v>3.83</v>
      </c>
      <c r="C37" s="5" t="n">
        <v>235</v>
      </c>
      <c r="D37" s="5" t="n">
        <v>287</v>
      </c>
      <c r="E37" s="5" t="inlineStr">
        <is>
          <t>22.3%</t>
        </is>
      </c>
      <c r="F37" s="5" t="inlineStr">
        <is>
          <t>11.0x</t>
        </is>
      </c>
      <c r="J37" s="5" t="inlineStr">
        <is>
          <t>窗口中位偏下档</t>
        </is>
      </c>
    </row>
    <row r="38">
      <c r="A38" s="5" t="n">
        <v>0.6</v>
      </c>
      <c r="B38" s="5" t="n">
        <v>5.1</v>
      </c>
      <c r="C38" s="5" t="n">
        <v>313</v>
      </c>
      <c r="D38" s="5" t="n">
        <v>209</v>
      </c>
      <c r="E38" s="5" t="inlineStr">
        <is>
          <t>16.2%</t>
        </is>
      </c>
      <c r="F38" s="5" t="inlineStr">
        <is>
          <t>8.0x</t>
        </is>
      </c>
      <c r="J38" s="5" t="inlineStr">
        <is>
          <t>★当前价：市场仍隐含8倍于账面的减值</t>
        </is>
      </c>
    </row>
    <row r="39">
      <c r="A39" s="5" t="n">
        <v>0.75</v>
      </c>
      <c r="B39" s="5" t="n">
        <v>6.38</v>
      </c>
      <c r="C39" s="5" t="n">
        <v>392</v>
      </c>
      <c r="D39" s="5" t="n">
        <v>131</v>
      </c>
      <c r="E39" s="5" t="inlineStr">
        <is>
          <t>10.1%</t>
        </is>
      </c>
      <c r="F39" s="5" t="inlineStr">
        <is>
          <t>5.0x</t>
        </is>
      </c>
      <c r="J39" s="5" t="inlineStr">
        <is>
          <t>2021年高点档（6.53≈0.77x）</t>
        </is>
      </c>
    </row>
    <row r="40">
      <c r="A40" s="5" t="n">
        <v>1</v>
      </c>
      <c r="B40" s="5" t="n">
        <v>8.5</v>
      </c>
      <c r="C40" s="5" t="n">
        <v>522</v>
      </c>
      <c r="D40" s="5" t="n">
        <v>0</v>
      </c>
      <c r="E40" s="5" t="inlineStr">
        <is>
          <t>0%</t>
        </is>
      </c>
      <c r="F40" s="5" t="inlineStr">
        <is>
          <t>0x</t>
        </is>
      </c>
      <c r="J40" s="5" t="inlineStr">
        <is>
          <t>账面净资产全额兑现</t>
        </is>
      </c>
    </row>
    <row r="42">
      <c r="A42" s="9" t="inlineStr">
        <is>
          <t>【本表判断】当前价 5.10 处于自身4.3年历史【偏贵】一侧（股价便宜分位仅5.8%、PB便宜分位15.4%、股息率分位17.8%）——2023低点以来已涨119%，"市场很悲观"不成立，只能说市场已部分认同现金流拐点；但价格隐含减值率16.2%仍是账面拨备2.02%的8.0倍（#16🟢），绝对定价尚未回到账面价值。双锚买入参考：分位腿25%档≈3.22 vs 零增长DDM（DPS 0.27，r=9-11%）=2.45-3.00，两腿交叉区约2.5-3.2港元，当前价高出参考区约60%</t>
        </is>
      </c>
    </row>
    <row r="44">
      <c r="A44" s="2" t="inlineStr">
        <is>
          <t>⚠ 三条口径纪律：①分位窗口只有几年就说几年，别写「10年分位」；②PB 用归母权益，脚本值与东财值差 &gt;15% 必须查口径；③股价涨过一轮之后再说「市场很悲观」之前，先看 PB 分位</t>
        </is>
      </c>
    </row>
  </sheetData>
  <mergeCells count="3">
    <mergeCell ref="A44:J44"/>
    <mergeCell ref="A34:J34"/>
    <mergeCell ref="A42:J4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40" customWidth="1" min="4" max="4"/>
    <col width="30" customWidth="1" min="5" max="5"/>
  </cols>
  <sheetData>
    <row r="1">
      <c r="A1" s="4" t="inlineStr">
        <is>
          <t>日期</t>
        </is>
      </c>
      <c r="B1" s="4" t="inlineStr">
        <is>
          <t>指标</t>
        </is>
      </c>
      <c r="C1" s="4" t="inlineStr">
        <is>
          <t>数值</t>
        </is>
      </c>
      <c r="D1" s="4" t="inlineStr">
        <is>
          <t>出处（报告名+页码/附注号，精确到页）</t>
        </is>
      </c>
      <c r="E1" s="4" t="inlineStr">
        <is>
          <t>备注（口径疑问记这里）</t>
        </is>
      </c>
    </row>
    <row r="2">
      <c r="A2" s="5" t="inlineStr">
        <is>
          <t>2026-08-03</t>
        </is>
      </c>
      <c r="B2" s="5" t="inlineStr">
        <is>
          <t>S1-分部收入-FY2021</t>
        </is>
      </c>
      <c r="C2" s="5" t="inlineStr">
        <is>
          <t>重列后4分部</t>
        </is>
      </c>
      <c r="D2" s="5" t="inlineStr">
        <is>
          <t>FY2022年报 PDF p207 附注4经营分部</t>
        </is>
      </c>
      <c r="E2" s="5" t="inlineStr">
        <is>
          <t>FY2021经重列，与FY2021年报原披露(能源33006)不同</t>
        </is>
      </c>
    </row>
    <row r="3">
      <c r="A3" s="5" t="inlineStr">
        <is>
          <t>2026-08-03</t>
        </is>
      </c>
      <c r="B3" s="5" t="inlineStr">
        <is>
          <t>S1-分部收入-FY2022</t>
        </is>
      </c>
      <c r="C3" s="5" t="inlineStr">
        <is>
          <t>4分部</t>
        </is>
      </c>
      <c r="D3" s="5" t="inlineStr">
        <is>
          <t>FY2022年报 PDF p207 附注4</t>
        </is>
      </c>
      <c r="E3" s="5" t="inlineStr">
        <is>
          <t>对外客户收益口径</t>
        </is>
      </c>
    </row>
    <row r="4">
      <c r="A4" s="5" t="inlineStr">
        <is>
          <t>2026-08-03</t>
        </is>
      </c>
      <c r="B4" s="5" t="inlineStr">
        <is>
          <t>S1-分部收入-FY2023</t>
        </is>
      </c>
      <c r="C4" s="5" t="inlineStr">
        <is>
          <t>4分部</t>
        </is>
      </c>
      <c r="D4" s="5" t="inlineStr">
        <is>
          <t>FY2023年报 PDF p216 附注4</t>
        </is>
      </c>
      <c r="E4" s="5" t="inlineStr">
        <is>
          <t>对外客户收益口径</t>
        </is>
      </c>
    </row>
    <row r="5">
      <c r="A5" s="5" t="inlineStr">
        <is>
          <t>2026-08-03</t>
        </is>
      </c>
      <c r="B5" s="5" t="inlineStr">
        <is>
          <t>S1-分部收入-FY2024/25</t>
        </is>
      </c>
      <c r="C5" s="5" t="inlineStr">
        <is>
          <t>4分部</t>
        </is>
      </c>
      <c r="D5" s="5" t="inlineStr">
        <is>
          <t>FY2025年报 PDF p222 附注4</t>
        </is>
      </c>
      <c r="E5" s="5" t="inlineStr">
        <is>
          <t>对外客户收益口径</t>
        </is>
      </c>
    </row>
    <row r="6">
      <c r="A6" s="5" t="inlineStr">
        <is>
          <t>2026-08-03</t>
        </is>
      </c>
      <c r="B6" s="5" t="inlineStr">
        <is>
          <t>S2-全行-FY2021~25</t>
        </is>
      </c>
      <c r="C6" s="5" t="inlineStr">
        <is>
          <t>见底稿</t>
        </is>
      </c>
      <c r="D6" s="5" t="inlineStr">
        <is>
          <t>FY2025年报 p347五年概要(PDF p349)+各年综合损益表</t>
        </is>
      </c>
      <c r="E6" s="5" t="inlineStr">
        <is>
          <t>HKD百万；销管费自各年损益表</t>
        </is>
      </c>
    </row>
    <row r="7">
      <c r="A7" s="5" t="inlineStr">
        <is>
          <t>2026-08-03</t>
        </is>
      </c>
      <c r="B7" s="5" t="inlineStr">
        <is>
          <t>S3-OCF-FY2021~25</t>
        </is>
      </c>
      <c r="C7" s="5" t="inlineStr">
        <is>
          <t>-1562.6/4009.3/2495.1/6782.3/12128.3</t>
        </is>
      </c>
      <c r="D7" s="5" t="inlineStr">
        <is>
          <t>FY2021年报PDF p160/FY2022 p152/FY2023 p163/FY2024 p163/FY2025 p171</t>
        </is>
      </c>
      <c r="E7" s="5" t="inlineStr">
        <is>
          <t>FY2023 OCF自2023年报现金流量表续页</t>
        </is>
      </c>
    </row>
    <row r="8">
      <c r="A8" s="5" t="inlineStr">
        <is>
          <t>2026-08-03</t>
        </is>
      </c>
      <c r="B8" s="5" t="inlineStr">
        <is>
          <t>S3-capex-FY2021~25</t>
        </is>
      </c>
      <c r="C8" s="5" t="inlineStr">
        <is>
          <t>-8588.4~-1862.3</t>
        </is>
      </c>
      <c r="D8" s="5" t="inlineStr">
        <is>
          <t>各年现金流量表投资活动(购PPE+增置无形资产)</t>
        </is>
      </c>
      <c r="E8" s="5" t="inlineStr">
        <is>
          <t>BOT建造支出计入经营现金流出，不在此</t>
        </is>
      </c>
    </row>
    <row r="9">
      <c r="A9" s="5" t="inlineStr">
        <is>
          <t>2026-08-03</t>
        </is>
      </c>
      <c r="B9" s="5" t="inlineStr">
        <is>
          <t>S3-投资/筹资净额</t>
        </is>
      </c>
      <c r="C9" s="5" t="inlineStr">
        <is>
          <t>见底稿</t>
        </is>
      </c>
      <c r="D9" s="5" t="inlineStr">
        <is>
          <t>各年现金流量表</t>
        </is>
      </c>
      <c r="E9" s="5" t="inlineStr"/>
    </row>
    <row r="10">
      <c r="A10" s="5" t="inlineStr">
        <is>
          <t>2026-08-03</t>
        </is>
      </c>
      <c r="B10" s="5" t="inlineStr">
        <is>
          <t>S3-已派股息</t>
        </is>
      </c>
      <c r="C10" s="5" t="inlineStr">
        <is>
          <t>-2150/-1842.9/-1412.9/-1351.5/-1474.3</t>
        </is>
      </c>
      <c r="D10" s="5" t="inlineStr">
        <is>
          <t>各年现金流量表融资活动"已付本公司权益持有人股息"</t>
        </is>
      </c>
      <c r="E10" s="5" t="inlineStr">
        <is>
          <t>不含NCI股息与永续分派</t>
        </is>
      </c>
    </row>
    <row r="11">
      <c r="A11" s="5" t="inlineStr">
        <is>
          <t>2026-08-03</t>
        </is>
      </c>
      <c r="B11" s="5" t="inlineStr">
        <is>
          <t>S3-期末现金</t>
        </is>
      </c>
      <c r="C11" s="5" t="inlineStr">
        <is>
          <t>15046.9/10591.2/8433.2/7895.6/10334.4</t>
        </is>
      </c>
      <c r="D11" s="5" t="inlineStr">
        <is>
          <t>各年现金流量表末行</t>
        </is>
      </c>
      <c r="E11" s="5" t="inlineStr">
        <is>
          <t>之前误填含3个月以上存款口径，已修正为现金及等价物</t>
        </is>
      </c>
    </row>
    <row r="12">
      <c r="A12" s="5" t="inlineStr">
        <is>
          <t>2026-08-03</t>
        </is>
      </c>
      <c r="B12" s="5" t="inlineStr">
        <is>
          <t>S4-总资产</t>
        </is>
      </c>
      <c r="C12" s="5" t="inlineStr">
        <is>
          <t>200235.6~189143.1</t>
        </is>
      </c>
      <c r="D12" s="5" t="inlineStr">
        <is>
          <t>各年BS：非流动+流动资产总额</t>
        </is>
      </c>
      <c r="E12" s="5" t="inlineStr">
        <is>
          <t>五年概要数为扣流动负债净额，不可用作总资产</t>
        </is>
      </c>
    </row>
    <row r="13">
      <c r="A13" s="5" t="inlineStr">
        <is>
          <t>2026-08-03</t>
        </is>
      </c>
      <c r="B13" s="5" t="inlineStr">
        <is>
          <t>S4-短/长期借贷</t>
        </is>
      </c>
      <c r="C13" s="5" t="inlineStr">
        <is>
          <t>见底稿</t>
        </is>
      </c>
      <c r="D13" s="5" t="inlineStr">
        <is>
          <t>各年BS计息借贷(FY2021 PDF p156/FY2022 p148/FY2023 p158/FY2024 p158/FY2025 p166)</t>
        </is>
      </c>
      <c r="E13" s="5" t="inlineStr">
        <is>
          <t>有抵押+无抵押精确值，替换此前20/80估算</t>
        </is>
      </c>
    </row>
    <row r="14">
      <c r="A14" s="5" t="inlineStr">
        <is>
          <t>2026-08-03</t>
        </is>
      </c>
      <c r="B14" s="5" t="inlineStr">
        <is>
          <t>S4-合约资产全口径</t>
        </is>
      </c>
      <c r="C14" s="5" t="inlineStr">
        <is>
          <t>113878.9~104934.1</t>
        </is>
      </c>
      <c r="D14" s="5" t="inlineStr">
        <is>
          <t>各年BS非流动+流动合约资产</t>
        </is>
      </c>
      <c r="E14" s="5" t="inlineStr">
        <is>
          <t>FY2025与KAM 1049.34亿吻合</t>
        </is>
      </c>
    </row>
    <row r="15">
      <c r="A15" s="5" t="inlineStr">
        <is>
          <t>2026-08-03</t>
        </is>
      </c>
      <c r="B15" s="5" t="inlineStr">
        <is>
          <t>S4-应收DORDP</t>
        </is>
      </c>
      <c r="C15" s="5" t="inlineStr">
        <is>
          <t>20138.5~27615.6</t>
        </is>
      </c>
      <c r="D15" s="5" t="inlineStr">
        <is>
          <t>各年BS流动"应收账款、其他应收款项、按金及预付款项"</t>
        </is>
      </c>
      <c r="E15" s="5" t="inlineStr">
        <is>
          <t>含预付；KAM纯应收FY2025=24152</t>
        </is>
      </c>
    </row>
    <row r="16">
      <c r="A16" s="5" t="inlineStr">
        <is>
          <t>2026-08-03</t>
        </is>
      </c>
      <c r="B16" s="5" t="inlineStr">
        <is>
          <t>S4-融资成本%</t>
        </is>
      </c>
      <c r="C16" s="5" t="inlineStr">
        <is>
          <t>3.5/3.6/3.7/3.2/2.6</t>
        </is>
      </c>
      <c r="D16" s="5" t="inlineStr">
        <is>
          <t>[推算]已付利息/平均总借贷</t>
        </is>
      </c>
      <c r="E16" s="5" t="inlineStr">
        <is>
          <t>利息自现金流量表已付利息</t>
        </is>
      </c>
    </row>
    <row r="17">
      <c r="A17" s="5" t="inlineStr">
        <is>
          <t>2026-08-03</t>
        </is>
      </c>
      <c r="B17" s="5" t="inlineStr">
        <is>
          <t>S5b-股本</t>
        </is>
      </c>
      <c r="C17" s="5" t="inlineStr">
        <is>
          <t>6143.0M股</t>
        </is>
      </c>
      <c r="D17" s="5" t="inlineStr">
        <is>
          <t>FY2021年报附注13(PDF p234)</t>
        </is>
      </c>
      <c r="E17" s="5" t="inlineStr">
        <is>
          <t>6,142,975,292股，五年无增发</t>
        </is>
      </c>
    </row>
    <row r="18">
      <c r="A18" s="5" t="inlineStr">
        <is>
          <t>2026-08-03</t>
        </is>
      </c>
      <c r="B18" s="5" t="inlineStr">
        <is>
          <t>S5b-DPS</t>
        </is>
      </c>
      <c r="C18" s="5" t="inlineStr">
        <is>
          <t>34/24/22/23/27港仙</t>
        </is>
      </c>
      <c r="D18" s="5" t="inlineStr">
        <is>
          <t>FY2021年报附注12；FY2023年报MD&amp;A PDF p22；FY2025年报</t>
        </is>
      </c>
      <c r="E18" s="5" t="inlineStr">
        <is>
          <t>FY2021=中期19+末期15</t>
        </is>
      </c>
    </row>
    <row r="19">
      <c r="A19" s="5" t="inlineStr">
        <is>
          <t>2026-08-03</t>
        </is>
      </c>
      <c r="B19" s="5" t="inlineStr">
        <is>
          <t>S5b-汇率</t>
        </is>
      </c>
      <c r="C19" s="5" t="inlineStr">
        <is>
          <t>1.0</t>
        </is>
      </c>
      <c r="D19" s="5" t="inlineStr">
        <is>
          <t>列账货币HKD=股价币</t>
        </is>
      </c>
      <c r="E19" s="5" t="inlineStr">
        <is>
          <t>功能货币RMB但列账HKD，估值指标FX-free</t>
        </is>
      </c>
    </row>
    <row r="20">
      <c r="A20" s="5" t="inlineStr">
        <is>
          <t>2026-08-03</t>
        </is>
      </c>
      <c r="B20" s="5" t="inlineStr">
        <is>
          <t>00257历年股价（2015-2026）</t>
        </is>
      </c>
      <c r="C20" s="5" t="inlineStr">
        <is>
          <t>年末收盘6.26/3.49/2.54/3.87/4.82；2026-07-31收5.10</t>
        </is>
      </c>
      <c r="D20" s="5" t="inlineStr">
        <is>
          <t>AKShare stock_hk_daily（新浪源，不复权），落盘 px_daily_00257_sina.csv 共6941行</t>
        </is>
      </c>
      <c r="E20" s="5" t="inlineStr">
        <is>
          <t>东财接口对00257持续限流，改新浪源；年度聚合自算</t>
        </is>
      </c>
    </row>
    <row r="21">
      <c r="A21" s="5" t="inlineStr">
        <is>
          <t>2026-08-03</t>
        </is>
      </c>
      <c r="B21" s="5" t="inlineStr">
        <is>
          <t>当前估值与分位</t>
        </is>
      </c>
      <c r="C21" s="5" t="inlineStr">
        <is>
          <t>PB 0.600、PE 8.0、股息率5.29%；股价便宜分位5.8%、PB便宜分位15.4%</t>
        </is>
      </c>
      <c r="D21" s="5" t="inlineStr">
        <is>
          <t>现价5.10（2026-07-31收盘）÷ 底稿5b-B区 BVPS 8.50/EPS 63.90港仙/DPS 27港仙</t>
        </is>
      </c>
      <c r="E21" s="5" t="inlineStr">
        <is>
          <t>分位窗口2022-04-01~2026-07-31共1061个交易日；PB/PE按财年映射（年报4月起切换每股指标）</t>
        </is>
      </c>
    </row>
    <row r="22">
      <c r="A22" s="5" t="inlineStr">
        <is>
          <t>2026-08-03</t>
        </is>
      </c>
      <c r="B22" s="5" t="inlineStr">
        <is>
          <t>价格隐含减值率（D区）</t>
        </is>
      </c>
      <c r="C22" s="5" t="inlineStr">
        <is>
          <t>市值313.3亿 → 隐含权益折价208.9亿 → 隐含减值率16.2% = 账面拨备2.02%的8.0x</t>
        </is>
      </c>
      <c r="D22" s="5" t="inlineStr">
        <is>
          <t>归母权益522.198亿 − 5.10×61.43亿股；被质疑资产=KAM应收241.5亿+合约资产1,049.3亿</t>
        </is>
      </c>
      <c r="E22" s="5" t="inlineStr">
        <is>
          <t>归因假设：100%折价归因于被质疑资产；少数股东分利16.6%&lt;30%、港股通覆盖，未降档</t>
        </is>
      </c>
    </row>
    <row r="23">
      <c r="A23" s="5" t="inlineStr">
        <is>
          <t>2026-08-03</t>
        </is>
      </c>
      <c r="B23" s="5" t="inlineStr">
        <is>
          <t>同行快照</t>
        </is>
      </c>
      <c r="C23" s="5" t="inlineStr">
        <is>
          <t>北水2.31/中国水务4.68/粤海投资8.47（新浪源现价）；东江PB0.73/康达0.27/首创环境0.16（东财）</t>
        </is>
      </c>
      <c r="D23" s="5" t="inlineStr">
        <is>
          <t>stock_hk_daily + fetch_stock_price.py snapshot（px_snapshot.csv）</t>
        </is>
      </c>
      <c r="E23" s="5" t="inlineStr">
        <is>
          <t>粤丰环保01381已私有化退市返回0值，剔出样本；中国水务/粤海投资及A股同行PB/ROE待补</t>
        </is>
      </c>
    </row>
    <row r="24">
      <c r="A24" s="5" t="inlineStr">
        <is>
          <t>2026-08-03</t>
        </is>
      </c>
      <c r="B24" s="5" t="inlineStr">
        <is>
          <t>Sheet5同行PB/ROE补齐</t>
        </is>
      </c>
      <c r="C24" s="5" t="inlineStr">
        <is>
          <t>中国水务PB0.50/ROE6.98、粤海1.28/11.01、北水0.76/5.01、A股三家PB均&gt;1</t>
        </is>
      </c>
      <c r="D24" s="5" t="inlineStr">
        <is>
          <t>复用北水底稿Sheet5东财快照（2026-08-03取数成功批次）</t>
        </is>
      </c>
      <c r="E24" s="5" t="inlineStr">
        <is>
          <t>ROE为东财TTM含少数股东口径，仅用于同表排序不用于绝对值；光大自算归母ROE 7.5%与东财7.82%口径差已知</t>
        </is>
      </c>
    </row>
    <row r="25">
      <c r="A25" s="5" t="n"/>
      <c r="B25" s="5" t="n"/>
      <c r="C25" s="5" t="n"/>
      <c r="D25" s="5" t="n"/>
      <c r="E25" s="5" t="n"/>
    </row>
    <row r="26">
      <c r="A26" s="5" t="n"/>
      <c r="B26" s="5" t="n"/>
      <c r="C26" s="5" t="n"/>
      <c r="D26" s="5" t="n"/>
      <c r="E26" s="5" t="n"/>
    </row>
    <row r="27">
      <c r="A27" s="5" t="n"/>
      <c r="B27" s="5" t="n"/>
      <c r="C27" s="5" t="n"/>
      <c r="D27" s="5" t="n"/>
      <c r="E27" s="5" t="n"/>
    </row>
    <row r="28">
      <c r="A28" s="5" t="n"/>
      <c r="B28" s="5" t="n"/>
      <c r="C28" s="5" t="n"/>
      <c r="D28" s="5" t="n"/>
      <c r="E28" s="5" t="n"/>
    </row>
    <row r="29">
      <c r="A29" s="5" t="n"/>
      <c r="B29" s="5" t="n"/>
      <c r="C29" s="5" t="n"/>
      <c r="D29" s="5" t="n"/>
      <c r="E29" s="5" t="n"/>
    </row>
    <row r="30">
      <c r="A30" s="5" t="n"/>
      <c r="B30" s="5" t="n"/>
      <c r="C30" s="5" t="n"/>
      <c r="D30" s="5" t="n"/>
      <c r="E30" s="5" t="n"/>
    </row>
    <row r="31">
      <c r="A31" s="5" t="n"/>
      <c r="B31" s="5" t="n"/>
      <c r="C31" s="5" t="n"/>
      <c r="D31" s="5" t="n"/>
      <c r="E31" s="5" t="n"/>
    </row>
    <row r="32">
      <c r="A32" s="5" t="n"/>
      <c r="B32" s="5" t="n"/>
      <c r="C32" s="5" t="n"/>
      <c r="D32" s="5" t="n"/>
      <c r="E32" s="5" t="n"/>
    </row>
    <row r="33">
      <c r="A33" s="5" t="n"/>
      <c r="B33" s="5" t="n"/>
      <c r="C33" s="5" t="n"/>
      <c r="D33" s="5" t="n"/>
      <c r="E33" s="5" t="n"/>
    </row>
    <row r="34">
      <c r="A34" s="5" t="n"/>
      <c r="B34" s="5" t="n"/>
      <c r="C34" s="5" t="n"/>
      <c r="D34" s="5" t="n"/>
      <c r="E34" s="5" t="n"/>
    </row>
    <row r="35">
      <c r="A35" s="5" t="n"/>
      <c r="B35" s="5" t="n"/>
      <c r="C35" s="5" t="n"/>
      <c r="D35" s="5" t="n"/>
      <c r="E35" s="5" t="n"/>
    </row>
    <row r="36">
      <c r="A36" s="5" t="n"/>
      <c r="B36" s="5" t="n"/>
      <c r="C36" s="5" t="n"/>
      <c r="D36" s="5" t="n"/>
      <c r="E36" s="5" t="n"/>
    </row>
    <row r="37">
      <c r="A37" s="5" t="n"/>
      <c r="B37" s="5" t="n"/>
      <c r="C37" s="5" t="n"/>
      <c r="D37" s="5" t="n"/>
      <c r="E37" s="5" t="n"/>
    </row>
    <row r="38">
      <c r="A38" s="5" t="n"/>
      <c r="B38" s="5" t="n"/>
      <c r="C38" s="5" t="n"/>
      <c r="D38" s="5" t="n"/>
      <c r="E38" s="5" t="n"/>
    </row>
    <row r="39">
      <c r="A39" s="5" t="n"/>
      <c r="B39" s="5" t="n"/>
      <c r="C39" s="5" t="n"/>
      <c r="D39" s="5" t="n"/>
      <c r="E39" s="5" t="n"/>
    </row>
    <row r="40">
      <c r="A40" s="5" t="n"/>
      <c r="B40" s="5" t="n"/>
      <c r="C40" s="5" t="n"/>
      <c r="D40" s="5" t="n"/>
      <c r="E40" s="5" t="n"/>
    </row>
    <row r="41">
      <c r="A41" s="5" t="n"/>
      <c r="B41" s="5" t="n"/>
      <c r="C41" s="5" t="n"/>
      <c r="D41" s="5" t="n"/>
      <c r="E4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2026-08-03T03:23:30Z</dcterms:created>
  <dcterms:modified xmlns:dcterms="http://purl.org/dc/terms/" xmlns:xsi="http://www.w3.org/2001/XMLSchema-instance" xsi:type="dcterms:W3CDTF">2026-08-03T09:24:58Z</dcterms:modified>
</cp:coreProperties>
</file>